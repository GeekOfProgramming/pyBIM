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0"/>
  </bookViews>
  <sheets>
    <sheet sheetId="1" name="EN - ISO 19650 Global" state="visible" r:id="rId4"/>
    <sheet sheetId="2" name="IT - UNI 11337 Italia" state="visible" r:id="rId5"/>
    <sheet sheetId="3" name="DE - DIN 19650 DACH" state="visible" r:id="rId6"/>
  </sheets>
  <calcPr calcId="171027"/>
</workbook>
</file>

<file path=xl/sharedStrings.xml><?xml version="1.0" encoding="utf-8"?>
<sst xmlns="http://schemas.openxmlformats.org/spreadsheetml/2006/main" count="171" uniqueCount="163">
  <si>
    <t>pyBIM  |  ADVANCED BIM &amp; AUTOMATION LAB  •  PREPARED FOR: ENTERPRISE ARCHITECTURE &amp; ENGINEERING PARTNER</t>
  </si>
  <si>
    <t>BIM Automation ROI &amp; Cost-Loss Matrix (ISO 19650)</t>
  </si>
  <si>
    <t>Client: Executive Engineering Lead (Enterprise Architecture &amp; Engineering Partner) | Baseline Team Scale: 5 Engineers | Base Rate: €85.00/hr</t>
  </si>
  <si>
    <t>1. STUDIO / FIRM PROFILE (INPUT VARIABLES - EDIT GREEN CELLS)</t>
  </si>
  <si>
    <t>Number of BIM Modelers / Engineers in Team:</t>
  </si>
  <si>
    <t>Active Engineers</t>
  </si>
  <si>
    <t>Determines overall team scale (Frontend variable)</t>
  </si>
  <si>
    <t>Average Hourly Billing / Cost Rate (€ / hr):</t>
  </si>
  <si>
    <t>Standard Billing</t>
  </si>
  <si>
    <t>Standard DACH / EU engineering rate baseline</t>
  </si>
  <si>
    <t>Avg. Hours Wasted on Repetitive Tasks per Modeler (hrs/wk):</t>
  </si>
  <si>
    <t>Repetitive Drain</t>
  </si>
  <si>
    <t>Clash routing, naming, manual QTO, sheets (ISO 19650 baseline: 12h)</t>
  </si>
  <si>
    <t>Working Weeks per Year (EU Baseline):</t>
  </si>
  <si>
    <t>Annual Working Wks</t>
  </si>
  <si>
    <t>Annual working weeks excluding holidays &amp; vacation</t>
  </si>
  <si>
    <t>2. AEC TASK AUTOMATION BREAKDOWN &amp; RECOVERED CAPACITY (ISO 19650 AUDIT)</t>
  </si>
  <si>
    <t>AEC Workflow / Task Description</t>
  </si>
  <si>
    <t>Manual (hrs/wk)</t>
  </si>
  <si>
    <t>Auto (hrs/wk)</t>
  </si>
  <si>
    <t>Saved (hrs/wk)</t>
  </si>
  <si>
    <t>Gross Weekly Savings (€)</t>
  </si>
  <si>
    <t>3D Spatial Clash Resolution &amp; BCF Routing (Navisworks / Solibri)</t>
  </si>
  <si>
    <t>Dynamic 5D Quantity Take-Off (QTO) &amp; BOQ Synchronization</t>
  </si>
  <si>
    <t>Custom Revit C# / Python Scripting &amp; Parameter Injection</t>
  </si>
  <si>
    <t>4D Time-Schedule &amp; Construction Sequencing Linkage (Synchro PRO)</t>
  </si>
  <si>
    <t>COBie Lifecycle Parameter Validation &amp; ISO 19650 Quality Audits</t>
  </si>
  <si>
    <t>Total Weekly Recovered Capacity &amp; Financial Savings:</t>
  </si>
  <si>
    <t>3. EXECUTIVE ROI &amp; RANGE-BASED FINANCIAL ARCHITECTURE</t>
  </si>
  <si>
    <t>Current Hidden Annual Loss (Manual Labor Drain):</t>
  </si>
  <si>
    <t>Gross Annual Financial Savings with pyBIM Engine:</t>
  </si>
  <si>
    <t>Total Recovered Engineering Capacity (Hours / Year):</t>
  </si>
  <si>
    <t>ADOPTION SCENARIOS (ANNUAL FINANCIAL RECOVERY):</t>
  </si>
  <si>
    <t>Efficiency Ratio:</t>
  </si>
  <si>
    <t>Target Adoption:</t>
  </si>
  <si>
    <t>Annual Recovered Hrs:</t>
  </si>
  <si>
    <t>Net Annual Financial Value:</t>
  </si>
  <si>
    <t>Conservative Scenario (Initial Phase 1 Rollout):</t>
  </si>
  <si>
    <t>50% Automation Adoption</t>
  </si>
  <si>
    <t>Expected Base Scenario (Standard pyBIM Implementation):</t>
  </si>
  <si>
    <t>75% Automation Adoption</t>
  </si>
  <si>
    <t>Optimized Scenario (Full Digital Twin &amp; API Pipeline):</t>
  </si>
  <si>
    <t>100% Full Core Automation</t>
  </si>
  <si>
    <t>Estimated pyBIM Integration Investment (Baseline Platform &amp; Setup):</t>
  </si>
  <si>
    <t>Net Annual Savings (Year 1, Expected Scenario minus Investment):</t>
  </si>
  <si>
    <t>Payback Period (Months to 100% Capital Recovery):</t>
  </si>
  <si>
    <t>Year-1 Return on Investment (ROI %):</t>
  </si>
  <si>
    <t>FIVE-YEAR CUMULATIVE VALUE CREATION (COMPOUNDED CAPACITY):</t>
  </si>
  <si>
    <t>5-Year Cumulative Net Financial Gain (Expected Scenario):</t>
  </si>
  <si>
    <t>5-Year Engineering Capacity Liberated:</t>
  </si>
  <si>
    <t>4. TECHNICAL VERIFICATION &amp; DATA SOVEREIGNTY (AIR-GAP COMPLIANCE)</t>
  </si>
  <si>
    <t>Compliance Framework:</t>
  </si>
  <si>
    <t>ISO 19650-1/2, buildingSMART OpenBIM, IFC4.3 Certified</t>
  </si>
  <si>
    <t>Data Security Protocol:</t>
  </si>
  <si>
    <t>Air-Gapped LAN Execution • Zero Cloud Metadata Ingestion • GDPR &amp; ISO 27001</t>
  </si>
  <si>
    <t>Engineering Audit Sign-off:</t>
  </si>
  <si>
    <t>Padua R&amp;D Computational Team (Studio Ingegneria BIM Italia)</t>
  </si>
  <si>
    <t>pyBIM  |  LABORATORIO DI AUTOMAZIONE BIM AVANZATA  •  PREPARATO PER: ENTERPRISE ARCHITECTURE &amp; ENGINEERING PARTNER</t>
  </si>
  <si>
    <t>Matrice di Ritorno sull'Investimento (ROI) e Analisi Costi BIM (UNI 11337)</t>
  </si>
  <si>
    <t>Cliente: Executive Engineering Lead (Enterprise Architecture &amp; Engineering Partner) | Team di Base: 5 Modellatori | Tariffa Oraria: €85.00/ora</t>
  </si>
  <si>
    <t>1. PROFILO DELLO STUDIO / IMPRESA (VARIABILI DI INPUT - MODIFICA LE CELLE VERDI)</t>
  </si>
  <si>
    <t>Numero di Modellatori / BIM Specialist nel Team:</t>
  </si>
  <si>
    <t>Dimensione operativa del team tecnico (Variabile frontend)</t>
  </si>
  <si>
    <t>Tariffa Oraria Media di Fatturazione / Costo (€ / ora):</t>
  </si>
  <si>
    <t>Tariffa media ingegneristica di riferimento per l'Italia / UE</t>
  </si>
  <si>
    <t>Ore Medie Perse in Task Ripetitivi per Modellatore (ore/settimana):</t>
  </si>
  <si>
    <t>Clash routing, rinomina, computi manuali, cartigli (UNI 11337 baseline: 12h)</t>
  </si>
  <si>
    <t>Settimane Lavorative all'Anno (Standard Italiano / UE):</t>
  </si>
  <si>
    <t>Settimane annue effettive escluse ferie e festività</t>
  </si>
  <si>
    <t>2. DETTAGLIO AUTOMAZIONE DEI PROCESSI BIM E CAPACITÀ RECUPERATA (UNI 11337)</t>
  </si>
  <si>
    <t>Processo BIM / Descrizione Attività</t>
  </si>
  <si>
    <t>Manuale (ore/sett)</t>
  </si>
  <si>
    <t>Auto (ore/sett)</t>
  </si>
  <si>
    <t>Recuperate (ore/sett)</t>
  </si>
  <si>
    <t>Risparmio Settimanale (€)</t>
  </si>
  <si>
    <t>Risoluzione Algoritmica delle Interferenze e Routing BCF (Navisworks / Solibri)</t>
  </si>
  <si>
    <t>Computo Metrico Estimativo 5D Dinamico e Sincronizzazione Elenco Prezzi</t>
  </si>
  <si>
    <t>Scripting Personalizzato Revit API (C# / Python) e Iniezione Parametri</t>
  </si>
  <si>
    <t>Pianificazione e Simulazione 4D con Cronoprogramma Lavori (Synchro PRO)</t>
  </si>
  <si>
    <t>Validazione Schede Informative COBie e Controllo Qualità Modelli UNI 11337</t>
  </si>
  <si>
    <t>Totale Capacità Ingegneristica Recuperata e Risparmio Economico Settimanale:</t>
  </si>
  <si>
    <t>3. ARCHITETTURA FINANZIARIA STRATEGICA E SCENARI DI RITORNO (ROI)</t>
  </si>
  <si>
    <t>Perdita Economica Annua Attuale (Inefficienza Lavoro Manuale):</t>
  </si>
  <si>
    <t>Risparmio Economico Lordo Annuo con Motore pyBIM:</t>
  </si>
  <si>
    <t>Capacità Ingegneristica Totale Recuperata (Ore / Anno):</t>
  </si>
  <si>
    <t>SCENARI DI ADOZIONE (RECUPERO ECONOMICO ANNUO):</t>
  </si>
  <si>
    <t>Tasso Efficienza:</t>
  </si>
  <si>
    <t>Livello Adozione:</t>
  </si>
  <si>
    <t>Ore Annue Recuperate:</t>
  </si>
  <si>
    <t>Valore Economico Netto Annuo:</t>
  </si>
  <si>
    <t>Scenario Prudenziale (Fase Iniziale di Transizione):</t>
  </si>
  <si>
    <t>Adozione Automazione al 50%</t>
  </si>
  <si>
    <t>Scenario Base Atteso (Implementazione Standard pyBIM):</t>
  </si>
  <si>
    <t>Adozione Automazione al 75%</t>
  </si>
  <si>
    <t>Scenario Ottimale (Piena Integrazione API e Gemello Digitale):</t>
  </si>
  <si>
    <t>Adozione Automazione Completa al 100%</t>
  </si>
  <si>
    <t>Investimento Stimato di Integrazione pyBIM (Piattaforma &amp; Setup Iniziale):</t>
  </si>
  <si>
    <t>Risparmio Netto Annuo (Anno 1, Scenario Atteso al netto investimento):</t>
  </si>
  <si>
    <t>Periodo di Payback (Mesi per il Recupero Completo del Capitale):</t>
  </si>
  <si>
    <t>Ritorno sull'Investimento al 1° Anno (ROI %):</t>
  </si>
  <si>
    <t>CREAZIONE DI VALORE CUMULATIVO A 5 ANNI (EFFETTO COMPOUNDING):</t>
  </si>
  <si>
    <t>Beneficio Economico Netto Cumulativo a 5 Anni (Scenario Atteso):</t>
  </si>
  <si>
    <t>Capacità Ingegneristica Totale Liberata a 5 Anni:</t>
  </si>
  <si>
    <t>4. VERIFICA TECNICA, NORMATIVA NAZIONALE E SOVRANITÀ DEI DATI</t>
  </si>
  <si>
    <t>Quadro Normativo:</t>
  </si>
  <si>
    <t>UNI 11337-1/7, D.M. 560/2017, D.M. 312/2021, OpenBIM IFC4.3</t>
  </si>
  <si>
    <t>Protocollo di Sovranità Dati:</t>
  </si>
  <si>
    <t>Esecuzione Locale Air-Gapped • Nessuna Ingestione Cloud • GDPR &amp; ISO 27001</t>
  </si>
  <si>
    <t>Validazione Tecnica di Audit:</t>
  </si>
  <si>
    <t>Team di Ricerca e Sviluppo pyBIM (Padova, Italia)</t>
  </si>
  <si>
    <t>pyBIM  |  LABOR FÜR FORTSCHRITTLICHE BIM-AUTOMATISIERUNG  •  ERSTELLT FÜR: ENTERPRISE ARCHITECTURE &amp; ENGINEERING PARTNER</t>
  </si>
  <si>
    <t>BIM-Automatisierungs-ROI &amp; Kosten-Verlust-Matrix (DIN EN ISO 19650)</t>
  </si>
  <si>
    <t>Kunde: Executive Engineering Lead (Enterprise Architecture &amp; Engineering Partner) | Basis-Teamgröße: 5 Konstrukteure | Stundensatz: €85.00/Std</t>
  </si>
  <si>
    <t>1. UNTERNEHMENSPROFIL (EINGABEVARIABLEN - GRÜNE ZELLEN BEARBEITEN)</t>
  </si>
  <si>
    <t>Anzahl BIM-Konstrukteure / Modellierer im Team:</t>
  </si>
  <si>
    <t>Bestimmt die gesamte Teamkapazität (Frontend-Variable)</t>
  </si>
  <si>
    <t>Durchschnittlicher Stundensatz / Verrechnungssatz (€ / Std):</t>
  </si>
  <si>
    <t>Standard-Ingenieurstundensatz für den DACH-Raum</t>
  </si>
  <si>
    <t>Durchschnittliche Zeitverschwendung für Routineaufgaben (Std/Woche):</t>
  </si>
  <si>
    <t>Kollisionsprüfung, Benennung, manuelle AVA, Pläne (DIN-Basis: 12h)</t>
  </si>
  <si>
    <t>Arbeitswochen pro Jahr (DACH / EU-Standard):</t>
  </si>
  <si>
    <t>Tatsächliche Jahresarbeitswochen ohne Urlaub und Feiertage</t>
  </si>
  <si>
    <t>2. DETAILANALYSE DER BIM-WORKFLOWS &amp; ZURÜCKGEWONNENE KAPAZITÄT (DIN ISO 19650)</t>
  </si>
  <si>
    <t>BIM-Prozess / Aufgabenbeschreibung</t>
  </si>
  <si>
    <t>Manuell (Std/Wo)</t>
  </si>
  <si>
    <t>Auto (Std/Wo)</t>
  </si>
  <si>
    <t>Erspart (Std/Wo)</t>
  </si>
  <si>
    <t>Wöchentliche Ersparnis (€)</t>
  </si>
  <si>
    <t>3D-Kollisionsprüfung &amp; BCF-Routing (Navisworks / Solibri)</t>
  </si>
  <si>
    <t>Dynamische 5D-Mengen- und Kostenermittlung (AVA) &amp; Leistungsverzeichnisse</t>
  </si>
  <si>
    <t>Benutzerdefinierte Revit-API-Skripte (C# / Python) &amp; Parameterinjektion</t>
  </si>
  <si>
    <t>4D-Bauzeitenplanung &amp; Prozesssimulation (Synchro PRO)</t>
  </si>
  <si>
    <t>COBie-Attribut-Validierung &amp; AIA/BAP-Qualitätsprüfung nach DIN EN ISO 19650</t>
  </si>
  <si>
    <t>Wöchentliche zurückgewonnene Ingenieurkapazität &amp; Gesamtersparnis:</t>
  </si>
  <si>
    <t>3. WIRTSCHAFTLICHKEITSANALYSE &amp; MEHRSTUFIGE ROI-ARCHITEKTUR</t>
  </si>
  <si>
    <t>Aktueller verdeckter Jahresverlust (Manueller Arbeitsaufwand):</t>
  </si>
  <si>
    <t>Jährliche Brutto-Finanzersparnis mit der pyBIM-Engine:</t>
  </si>
  <si>
    <t>Zurückgewonnene Ingenieurkapazität insgesamt (Stunden / Jahr):</t>
  </si>
  <si>
    <t>EINFÜHRUNGSSZENARIEN (JÄHRLICHE FINANZIELLE RÜCKGEWINNUNG):</t>
  </si>
  <si>
    <t>Effizienzrate:</t>
  </si>
  <si>
    <t>Ziel-Adoption:</t>
  </si>
  <si>
    <t>Eingesparte Jahresstunden:</t>
  </si>
  <si>
    <t>Jährlicher Netto-Finanzwert:</t>
  </si>
  <si>
    <t>Konservatives Szenario (Phase 1 Einführung):</t>
  </si>
  <si>
    <t>50% Automatisierungsgrad</t>
  </si>
  <si>
    <t>Erwartetes Basisszenario (Standard pyBIM-Implementierung):</t>
  </si>
  <si>
    <t>75% Automatisierungsgrad</t>
  </si>
  <si>
    <t>Optimiertes Szenario (Vollständige Digital-Twin- &amp; API-Pipeline):</t>
  </si>
  <si>
    <t>100% Vollautomatisierung</t>
  </si>
  <si>
    <t>Geschätzte pyBIM-Integrationsinvestition (Plattform &amp; Setup):</t>
  </si>
  <si>
    <t>Netto-Jahresersparnis (Jahr 1, Basisszenario abzüglich Investition):</t>
  </si>
  <si>
    <t>Amortisationszeit / Payback (Monate bis zur vollen Kapitalrückgewinnung):</t>
  </si>
  <si>
    <t>Investitionsrendite im 1. Jahr (ROI %):</t>
  </si>
  <si>
    <t>KUMULIERTER MEHRWERT ÜBER 5 JAHRE (COMPOUNDING-EFFEKT):</t>
  </si>
  <si>
    <t>Kumulierter Netto-Finanzgewinn über 5 Jahre (Basisszenario):</t>
  </si>
  <si>
    <t>Über 5 Jahre freigesetzte Ingenieurkapazität:</t>
  </si>
  <si>
    <t>4. TECHNISCHE PRÜFUNG, NORMKONFORMITÄT &amp; DATENSOUVERÄNITÄT</t>
  </si>
  <si>
    <t>Normatives Rahmenwerk:</t>
  </si>
  <si>
    <t>DIN EN ISO 19650-1/2, buildingSMART OpenBIM, IFC4.3 zertifiziert</t>
  </si>
  <si>
    <t>Datensicherheitsprotokoll:</t>
  </si>
  <si>
    <t>Lokale Air-Gap-Ausführung • Keine Cloud-Ingestion • DSGVO &amp; ISO 27001</t>
  </si>
  <si>
    <t>Ingenieurtechnische Freigabe:</t>
  </si>
  <si>
    <t>pyBIM F&amp;E-Berechnungsteam (Padua, Italien)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</si>
</sst>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€#,##0.00"/>
    <numFmt numFmtId="165" formatCode="0.0 &quot;hrs&quot;"/>
    <numFmt numFmtId="166" formatCode="0.0 &quot;hrs/wk&quot;"/>
    <numFmt numFmtId="167" formatCode="#,##0 &quot;hours / yr&quot;"/>
    <numFmt numFmtId="168" formatCode="#,##0 &quot;hrs&quot;"/>
    <numFmt numFmtId="169" formatCode="0.0 &quot;months&quot;"/>
    <numFmt numFmtId="170" formatCode="0.0%"/>
    <numFmt numFmtId="171" formatCode="#,##0 &quot;hours liberated&quot;"/>
  </numFmts>
  <fonts count="22" x14ac:knownFonts="1">
    <font>
      <color theme="1"/>
      <family val="2"/>
      <scheme val="minor"/>
      <sz val="11"/>
      <name val="Calibri"/>
    </font>
    <font>
      <b/>
      <color rgb="2563EB"/>
      <sz val="10.5"/>
      <name val="Calibri"/>
    </font>
    <font>
      <b/>
      <color rgb="0F172A"/>
      <sz val="17"/>
      <name val="Calibri"/>
    </font>
    <font>
      <i/>
      <color rgb="64748B"/>
      <sz val="10"/>
      <name val="Calibri"/>
    </font>
    <font>
      <b/>
      <color rgb="FFFFFF"/>
      <sz val="11"/>
      <name val="Calibri"/>
    </font>
    <font>
      <b/>
      <color rgb="0F172A"/>
      <sz val="11"/>
      <name val="Calibri"/>
    </font>
    <font>
      <b/>
      <color rgb="065F46"/>
      <sz val="11"/>
      <name val="Calibri"/>
    </font>
    <font>
      <b/>
      <color rgb="0F172A"/>
      <sz val="10.5"/>
      <name val="Calibri"/>
    </font>
    <font>
      <color rgb="0F172A"/>
      <sz val="10.5"/>
      <name val="Calibri"/>
    </font>
    <font>
      <b/>
      <color rgb="047857"/>
      <sz val="10.5"/>
      <name val="Calibri"/>
    </font>
    <font>
      <b/>
      <color rgb="2563EB"/>
      <sz val="11"/>
      <name val="Calibri"/>
    </font>
    <font>
      <b/>
      <color rgb="047857"/>
      <sz val="11"/>
      <name val="Calibri"/>
    </font>
    <font>
      <b/>
      <color rgb="DC2626"/>
      <sz val="11"/>
      <name val="Calibri"/>
    </font>
    <font>
      <b/>
      <color rgb="059669"/>
      <sz val="11"/>
      <name val="Calibri"/>
    </font>
    <font>
      <b/>
      <color rgb="0F172A"/>
      <sz val="10"/>
      <name val="Calibri"/>
    </font>
    <font>
      <b/>
      <color rgb="C2410C"/>
      <sz val="10.5"/>
      <name val="Calibri"/>
    </font>
    <font>
      <b/>
      <color rgb="0F172A"/>
      <sz val="11.5"/>
      <name val="Calibri"/>
    </font>
    <font>
      <b/>
      <color rgb="C2410C"/>
      <sz val="11.5"/>
      <name val="Calibri"/>
    </font>
    <font>
      <b/>
      <color rgb="059669"/>
      <sz val="11.5"/>
      <name val="Calibri"/>
    </font>
    <font>
      <b/>
      <color rgb="2563EB"/>
      <sz val="11.5"/>
      <name val="Calibri"/>
    </font>
    <font>
      <b/>
      <color rgb="065F46"/>
      <sz val="10"/>
      <name val="Calibri"/>
    </font>
    <font>
      <i/>
      <color rgb="0F172A"/>
      <sz val="10"/>
      <name val="Calibri"/>
    </font>
  </fonts>
  <fills count="18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F1F5F9"/>
      </patternFill>
    </fill>
    <fill>
      <patternFill patternType="solid">
        <fgColor rgb="D1FAE5"/>
      </patternFill>
    </fill>
    <fill>
      <patternFill patternType="solid">
        <fgColor rgb="2563EB"/>
      </patternFill>
    </fill>
    <fill>
      <patternFill patternType="solid">
        <fgColor rgb="E2E8F0"/>
      </patternFill>
    </fill>
    <fill>
      <patternFill patternType="solid">
        <fgColor rgb="FFFFFF"/>
      </patternFill>
    </fill>
    <fill>
      <patternFill patternType="solid">
        <fgColor rgb="EFF6FF"/>
      </patternFill>
    </fill>
    <fill>
      <patternFill patternType="solid">
        <fgColor rgb="F0FDF4"/>
      </patternFill>
    </fill>
    <fill>
      <patternFill patternType="solid">
        <fgColor rgb="DBEAFE"/>
      </patternFill>
    </fill>
    <fill>
      <patternFill patternType="solid">
        <fgColor rgb="F97316"/>
      </patternFill>
    </fill>
    <fill>
      <patternFill patternType="solid">
        <fgColor rgb="FEF2F2"/>
      </patternFill>
    </fill>
    <fill>
      <patternFill patternType="solid">
        <fgColor rgb="ECFDF5"/>
      </patternFill>
    </fill>
    <fill>
      <patternFill patternType="solid">
        <fgColor rgb="FED7AA"/>
      </patternFill>
    </fill>
    <fill>
      <patternFill patternType="solid">
        <fgColor rgb="FFF7ED"/>
      </patternFill>
    </fill>
    <fill>
      <patternFill patternType="solid">
        <fgColor rgb="FFEDD5"/>
      </patternFill>
    </fill>
    <fill>
      <patternFill patternType="solid">
        <fgColor rgb="047857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 indent="1"/>
    </xf>
    <xf numFmtId="0" fontId="5" fillId="3" borderId="1" xfId="0" applyFont="1" applyFill="1" applyBorder="1" applyAlignment="1">
      <alignment vertical="center" indent="1"/>
    </xf>
    <xf numFmtId="3" fontId="6" fillId="4" borderId="1" xfId="0" applyNumberFormat="1" applyFont="1" applyFill="1" applyBorder="1" applyAlignment="1" applyProtection="1">
      <alignment horizontal="right" vertical="center"/>
      <protection locked="0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indent="1"/>
    </xf>
    <xf numFmtId="164" fontId="6" fillId="4" borderId="1" xfId="0" applyNumberFormat="1" applyFont="1" applyFill="1" applyBorder="1" applyAlignment="1" applyProtection="1">
      <alignment horizontal="right" vertical="center"/>
      <protection locked="0"/>
    </xf>
    <xf numFmtId="165" fontId="6" fillId="4" borderId="1" xfId="0" applyNumberFormat="1" applyFont="1" applyFill="1" applyBorder="1" applyAlignment="1" applyProtection="1">
      <alignment horizontal="right" vertical="center"/>
      <protection locked="0"/>
    </xf>
    <xf numFmtId="0" fontId="4" fillId="5" borderId="0" xfId="0" applyFont="1" applyFill="1" applyAlignment="1">
      <alignment vertical="center" indent="1"/>
    </xf>
    <xf numFmtId="0" fontId="7" fillId="6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/>
    </xf>
    <xf numFmtId="0" fontId="8" fillId="7" borderId="1" xfId="0" applyFont="1" applyFill="1" applyBorder="1" applyAlignment="1">
      <alignment vertical="center" indent="1"/>
    </xf>
    <xf numFmtId="165" fontId="8" fillId="7" borderId="1" xfId="0" applyNumberFormat="1" applyFont="1" applyFill="1" applyBorder="1" applyAlignment="1">
      <alignment horizontal="center" vertical="center"/>
    </xf>
    <xf numFmtId="165" fontId="1" fillId="8" borderId="1" xfId="0" applyNumberFormat="1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 indent="1"/>
    </xf>
    <xf numFmtId="165" fontId="5" fillId="6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4" fontId="11" fillId="4" borderId="1" xfId="0" applyNumberFormat="1" applyFont="1" applyFill="1" applyBorder="1" applyAlignment="1">
      <alignment horizontal="right" vertical="center"/>
    </xf>
    <xf numFmtId="0" fontId="4" fillId="11" borderId="0" xfId="0" applyFont="1" applyFill="1" applyAlignment="1">
      <alignment vertical="center" indent="1"/>
    </xf>
    <xf numFmtId="0" fontId="5" fillId="12" borderId="1" xfId="0" applyFont="1" applyFill="1" applyBorder="1" applyAlignment="1">
      <alignment vertical="center" indent="1"/>
    </xf>
    <xf numFmtId="164" fontId="12" fillId="12" borderId="1" xfId="0" applyNumberFormat="1" applyFont="1" applyFill="1" applyBorder="1" applyAlignment="1">
      <alignment horizontal="right" vertical="center"/>
    </xf>
    <xf numFmtId="0" fontId="5" fillId="13" borderId="1" xfId="0" applyFont="1" applyFill="1" applyBorder="1" applyAlignment="1">
      <alignment vertical="center" indent="1"/>
    </xf>
    <xf numFmtId="164" fontId="13" fillId="13" borderId="1" xfId="0" applyNumberFormat="1" applyFont="1" applyFill="1" applyBorder="1" applyAlignment="1">
      <alignment horizontal="right" vertical="center"/>
    </xf>
    <xf numFmtId="167" fontId="10" fillId="3" borderId="1" xfId="0" applyNumberFormat="1" applyFont="1" applyFill="1" applyBorder="1" applyAlignment="1">
      <alignment horizontal="right" vertical="center"/>
    </xf>
    <xf numFmtId="0" fontId="14" fillId="14" borderId="1" xfId="0" applyFont="1" applyFill="1" applyBorder="1" applyAlignment="1">
      <alignment horizontal="left" vertical="center" indent="1"/>
    </xf>
    <xf numFmtId="0" fontId="14" fillId="14" borderId="1" xfId="0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right" vertical="center"/>
    </xf>
    <xf numFmtId="9" fontId="1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8" fontId="1" fillId="7" borderId="1" xfId="0" applyNumberFormat="1" applyFont="1" applyFill="1" applyBorder="1" applyAlignment="1">
      <alignment horizontal="center" vertical="center"/>
    </xf>
    <xf numFmtId="164" fontId="9" fillId="7" borderId="1" xfId="0" applyNumberFormat="1" applyFont="1" applyFill="1" applyBorder="1" applyAlignment="1">
      <alignment horizontal="right" vertical="center"/>
    </xf>
    <xf numFmtId="0" fontId="7" fillId="15" borderId="1" xfId="0" applyFont="1" applyFill="1" applyBorder="1" applyAlignment="1">
      <alignment vertical="center" indent="1"/>
    </xf>
    <xf numFmtId="9" fontId="1" fillId="15" borderId="1" xfId="0" applyNumberFormat="1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168" fontId="1" fillId="15" borderId="1" xfId="0" applyNumberFormat="1" applyFont="1" applyFill="1" applyBorder="1" applyAlignment="1">
      <alignment horizontal="center" vertical="center"/>
    </xf>
    <xf numFmtId="164" fontId="15" fillId="16" borderId="1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vertical="center" indent="1"/>
    </xf>
    <xf numFmtId="164" fontId="7" fillId="3" borderId="1" xfId="0" applyNumberFormat="1" applyFont="1" applyFill="1" applyBorder="1" applyAlignment="1">
      <alignment horizontal="right" vertical="center"/>
    </xf>
    <xf numFmtId="169" fontId="1" fillId="3" borderId="1" xfId="0" applyNumberFormat="1" applyFont="1" applyFill="1" applyBorder="1" applyAlignment="1">
      <alignment horizontal="right" vertical="center"/>
    </xf>
    <xf numFmtId="0" fontId="16" fillId="15" borderId="1" xfId="0" applyFont="1" applyFill="1" applyBorder="1" applyAlignment="1">
      <alignment vertical="center" indent="1"/>
    </xf>
    <xf numFmtId="170" fontId="17" fillId="15" borderId="1" xfId="0" applyNumberFormat="1" applyFont="1" applyFill="1" applyBorder="1" applyAlignment="1">
      <alignment horizontal="right" vertical="center"/>
    </xf>
    <xf numFmtId="0" fontId="7" fillId="6" borderId="0" xfId="0" applyFont="1" applyFill="1" applyAlignment="1">
      <alignment vertical="center" indent="1"/>
    </xf>
    <xf numFmtId="0" fontId="5" fillId="4" borderId="1" xfId="0" applyFont="1" applyFill="1" applyBorder="1" applyAlignment="1">
      <alignment vertical="center" indent="1"/>
    </xf>
    <xf numFmtId="164" fontId="18" fillId="4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vertical="center" indent="1"/>
    </xf>
    <xf numFmtId="171" fontId="19" fillId="10" borderId="1" xfId="0" applyNumberFormat="1" applyFont="1" applyFill="1" applyBorder="1" applyAlignment="1">
      <alignment horizontal="right" vertical="center"/>
    </xf>
    <xf numFmtId="0" fontId="4" fillId="17" borderId="0" xfId="0" applyFont="1" applyFill="1" applyAlignment="1">
      <alignment vertical="center" indent="1"/>
    </xf>
    <xf numFmtId="0" fontId="20" fillId="9" borderId="1" xfId="0" applyFont="1" applyFill="1" applyBorder="1" applyAlignment="1">
      <alignment vertical="center" indent="1"/>
    </xf>
    <xf numFmtId="0" fontId="21" fillId="9" borderId="1" xfId="0" applyFont="1" applyFill="1" applyBorder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3"/>
  <sheetViews>
    <sheetView workbookViewId="0" tabSelected="1">
      <selection activeCell="C7" sqref="C7"/>
    </sheetView>
  </sheetViews>
  <sheetFormatPr defaultRowHeight="15" outlineLevelRow="0" outlineLevelCol="0" x14ac:dyDescent="55"/>
  <cols>
    <col min="1" max="1" width="4" customWidth="1"/>
    <col min="2" max="2" width="72" customWidth="1"/>
    <col min="3" max="5" width="22" customWidth="1"/>
    <col min="6" max="6" width="28" customWidth="1"/>
  </cols>
  <sheetData>
    <row r="2" ht="20" customHeight="1" spans="2:6" x14ac:dyDescent="0.25">
      <c r="B2" s="1" t="s">
        <v>0</v>
      </c>
      <c r="C2" s="1"/>
      <c r="D2" s="1"/>
      <c r="E2" s="1"/>
      <c r="F2" s="1"/>
    </row>
    <row r="3" ht="3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6" ht="26" customHeight="1" spans="2:6" x14ac:dyDescent="0.25">
      <c r="B6" s="4" t="s">
        <v>3</v>
      </c>
      <c r="C6" s="4"/>
      <c r="D6" s="4"/>
      <c r="E6" s="4"/>
      <c r="F6" s="4"/>
    </row>
    <row r="7" ht="24" customHeight="1" spans="2:6" x14ac:dyDescent="0.25">
      <c r="B7" s="5" t="s">
        <v>4</v>
      </c>
      <c r="C7" s="6">
        <v>5</v>
      </c>
      <c r="D7" s="7" t="s">
        <v>5</v>
      </c>
      <c r="E7" s="8" t="s">
        <v>6</v>
      </c>
      <c r="F7" s="8"/>
    </row>
    <row r="8" ht="24" customHeight="1" spans="2:6" x14ac:dyDescent="0.25">
      <c r="B8" s="5" t="s">
        <v>7</v>
      </c>
      <c r="C8" s="9">
        <v>85</v>
      </c>
      <c r="D8" s="7" t="s">
        <v>8</v>
      </c>
      <c r="E8" s="8" t="s">
        <v>9</v>
      </c>
      <c r="F8" s="8"/>
    </row>
    <row r="9" ht="24" customHeight="1" spans="2:6" x14ac:dyDescent="0.25">
      <c r="B9" s="5" t="s">
        <v>10</v>
      </c>
      <c r="C9" s="10">
        <v>12</v>
      </c>
      <c r="D9" s="7" t="s">
        <v>11</v>
      </c>
      <c r="E9" s="8" t="s">
        <v>12</v>
      </c>
      <c r="F9" s="8"/>
    </row>
    <row r="10" ht="24" customHeight="1" spans="2:6" x14ac:dyDescent="0.25">
      <c r="B10" s="5" t="s">
        <v>13</v>
      </c>
      <c r="C10" s="6">
        <v>48</v>
      </c>
      <c r="D10" s="7" t="s">
        <v>14</v>
      </c>
      <c r="E10" s="8" t="s">
        <v>15</v>
      </c>
      <c r="F10" s="8"/>
    </row>
    <row r="12" ht="26" customHeight="1" spans="2:6" x14ac:dyDescent="0.25">
      <c r="B12" s="11" t="s">
        <v>16</v>
      </c>
      <c r="C12" s="11"/>
      <c r="D12" s="11"/>
      <c r="E12" s="11"/>
      <c r="F12" s="11"/>
    </row>
    <row r="13" ht="22" customHeight="1" spans="2:6" x14ac:dyDescent="0.25">
      <c r="B13" s="12" t="s">
        <v>17</v>
      </c>
      <c r="C13" s="13" t="s">
        <v>18</v>
      </c>
      <c r="D13" s="13" t="s">
        <v>19</v>
      </c>
      <c r="E13" s="13" t="s">
        <v>20</v>
      </c>
      <c r="F13" s="14" t="s">
        <v>21</v>
      </c>
    </row>
    <row r="14" ht="24" customHeight="1" spans="2:6" x14ac:dyDescent="0.25">
      <c r="B14" s="15" t="s">
        <v>22</v>
      </c>
      <c r="C14" s="16">
        <v>3.5</v>
      </c>
      <c r="D14" s="16">
        <v>0.5</v>
      </c>
      <c r="E14" s="17">
        <f>C14-D14</f>
      </c>
      <c r="F14" s="18">
        <f>E14*$C$8*$C$7</f>
      </c>
    </row>
    <row r="15" ht="24" customHeight="1" spans="2:6" x14ac:dyDescent="0.25">
      <c r="B15" s="15" t="s">
        <v>23</v>
      </c>
      <c r="C15" s="16">
        <v>2.5</v>
      </c>
      <c r="D15" s="16">
        <v>0.3</v>
      </c>
      <c r="E15" s="17">
        <f>C15-D15</f>
      </c>
      <c r="F15" s="18">
        <f>E15*$C$8*$C$7</f>
      </c>
    </row>
    <row r="16" ht="24" customHeight="1" spans="2:6" x14ac:dyDescent="0.25">
      <c r="B16" s="15" t="s">
        <v>24</v>
      </c>
      <c r="C16" s="16">
        <v>2</v>
      </c>
      <c r="D16" s="16">
        <v>0.2</v>
      </c>
      <c r="E16" s="17">
        <f>C16-D16</f>
      </c>
      <c r="F16" s="18">
        <f>E16*$C$8*$C$7</f>
      </c>
    </row>
    <row r="17" ht="24" customHeight="1" spans="2:6" x14ac:dyDescent="0.25">
      <c r="B17" s="15" t="s">
        <v>25</v>
      </c>
      <c r="C17" s="16">
        <v>2</v>
      </c>
      <c r="D17" s="16">
        <v>0.4</v>
      </c>
      <c r="E17" s="17">
        <f>C17-D17</f>
      </c>
      <c r="F17" s="18">
        <f>E17*$C$8*$C$7</f>
      </c>
    </row>
    <row r="18" ht="24" customHeight="1" spans="2:6" x14ac:dyDescent="0.25">
      <c r="B18" s="15" t="s">
        <v>26</v>
      </c>
      <c r="C18" s="16">
        <v>2</v>
      </c>
      <c r="D18" s="16">
        <v>0.4</v>
      </c>
      <c r="E18" s="17">
        <f>C18-D18</f>
      </c>
      <c r="F18" s="18">
        <f>E18*$C$8*$C$7</f>
      </c>
    </row>
    <row r="19" ht="26" customHeight="1" spans="2:6" x14ac:dyDescent="0.25">
      <c r="B19" s="19" t="s">
        <v>27</v>
      </c>
      <c r="C19" s="20">
        <f>SUM(C14:C18)</f>
      </c>
      <c r="D19" s="20">
        <f>SUM(D14:D18)</f>
      </c>
      <c r="E19" s="21">
        <f>SUM(E14:E18)</f>
      </c>
      <c r="F19" s="22">
        <f>SUM(F14:F18)</f>
      </c>
    </row>
    <row r="21" ht="26" customHeight="1" spans="2:6" x14ac:dyDescent="0.25">
      <c r="B21" s="23" t="s">
        <v>28</v>
      </c>
      <c r="C21" s="23"/>
      <c r="D21" s="23"/>
      <c r="E21" s="23"/>
      <c r="F21" s="23"/>
    </row>
    <row r="22" ht="24" customHeight="1" spans="2:6" x14ac:dyDescent="0.25">
      <c r="B22" s="24" t="s">
        <v>29</v>
      </c>
      <c r="C22" s="24"/>
      <c r="D22" s="24"/>
      <c r="E22" s="24"/>
      <c r="F22" s="25">
        <f>C7*C8*C9*C10</f>
      </c>
    </row>
    <row r="23" ht="24" customHeight="1" spans="2:6" x14ac:dyDescent="0.25">
      <c r="B23" s="26" t="s">
        <v>30</v>
      </c>
      <c r="C23" s="26"/>
      <c r="D23" s="26"/>
      <c r="E23" s="26"/>
      <c r="F23" s="27">
        <f>E19*C10*C8*C7</f>
      </c>
    </row>
    <row r="24" ht="24" customHeight="1" spans="2:6" x14ac:dyDescent="0.25">
      <c r="B24" s="5" t="s">
        <v>31</v>
      </c>
      <c r="C24" s="5"/>
      <c r="D24" s="5"/>
      <c r="E24" s="5"/>
      <c r="F24" s="28">
        <f>E19*C10*C7</f>
      </c>
    </row>
    <row r="26" ht="22" customHeight="1" spans="2:6" x14ac:dyDescent="0.25">
      <c r="B26" s="29" t="s">
        <v>32</v>
      </c>
      <c r="C26" s="30" t="s">
        <v>33</v>
      </c>
      <c r="D26" s="30" t="s">
        <v>34</v>
      </c>
      <c r="E26" s="30" t="s">
        <v>35</v>
      </c>
      <c r="F26" s="31" t="s">
        <v>36</v>
      </c>
    </row>
    <row r="28" ht="24" customHeight="1" spans="2:6" x14ac:dyDescent="0.25">
      <c r="B28" s="15" t="s">
        <v>37</v>
      </c>
      <c r="C28" s="32">
        <v>0.5</v>
      </c>
      <c r="D28" s="33" t="s">
        <v>38</v>
      </c>
      <c r="E28" s="34">
        <f>F24*C28</f>
      </c>
      <c r="F28" s="35">
        <f>F23*C28</f>
      </c>
    </row>
    <row r="29" ht="24" customHeight="1" spans="2:6" x14ac:dyDescent="0.25">
      <c r="B29" s="36" t="s">
        <v>39</v>
      </c>
      <c r="C29" s="37">
        <v>0.75</v>
      </c>
      <c r="D29" s="38" t="s">
        <v>40</v>
      </c>
      <c r="E29" s="39">
        <f>F24*C29</f>
      </c>
      <c r="F29" s="40">
        <f>F23*C29</f>
      </c>
    </row>
    <row r="30" ht="24" customHeight="1" spans="2:6" x14ac:dyDescent="0.25">
      <c r="B30" s="15" t="s">
        <v>41</v>
      </c>
      <c r="C30" s="32">
        <v>1</v>
      </c>
      <c r="D30" s="33" t="s">
        <v>42</v>
      </c>
      <c r="E30" s="34">
        <f>F24*C30</f>
      </c>
      <c r="F30" s="35">
        <f>F23*C30</f>
      </c>
    </row>
    <row r="32" ht="24" customHeight="1" spans="2:6" x14ac:dyDescent="0.25">
      <c r="B32" s="41" t="s">
        <v>43</v>
      </c>
      <c r="C32" s="41"/>
      <c r="D32" s="41"/>
      <c r="E32" s="41"/>
      <c r="F32" s="42">
        <f>MAX(12500, C7*1850)</f>
      </c>
    </row>
    <row r="33" ht="24" customHeight="1" spans="2:6" x14ac:dyDescent="0.25">
      <c r="B33" s="26" t="s">
        <v>44</v>
      </c>
      <c r="C33" s="26"/>
      <c r="D33" s="26"/>
      <c r="E33" s="26"/>
      <c r="F33" s="27">
        <f>F29-F32</f>
      </c>
    </row>
    <row r="34" ht="24" customHeight="1" spans="2:6" x14ac:dyDescent="0.25">
      <c r="B34" s="41" t="s">
        <v>45</v>
      </c>
      <c r="C34" s="41"/>
      <c r="D34" s="41"/>
      <c r="E34" s="41"/>
      <c r="F34" s="43">
        <f>ROUND((F32/F29)*12, 1)</f>
      </c>
    </row>
    <row r="35" ht="24" customHeight="1" spans="2:6" x14ac:dyDescent="0.25">
      <c r="B35" s="44" t="s">
        <v>46</v>
      </c>
      <c r="C35" s="44"/>
      <c r="D35" s="44"/>
      <c r="E35" s="44"/>
      <c r="F35" s="45">
        <f>(F33/F32)</f>
      </c>
    </row>
    <row r="36" ht="22" customHeight="1" spans="2:6" x14ac:dyDescent="0.25">
      <c r="B36" s="46" t="s">
        <v>47</v>
      </c>
      <c r="C36" s="46"/>
      <c r="D36" s="46"/>
      <c r="E36" s="46"/>
      <c r="F36" s="46"/>
    </row>
    <row r="37" ht="24" customHeight="1" spans="2:6" x14ac:dyDescent="0.25">
      <c r="B37" s="47" t="s">
        <v>48</v>
      </c>
      <c r="C37" s="47"/>
      <c r="D37" s="47"/>
      <c r="E37" s="47"/>
      <c r="F37" s="48">
        <f>(F29*5)-(F32*1.4)</f>
      </c>
    </row>
    <row r="38" ht="24" customHeight="1" spans="2:6" x14ac:dyDescent="0.25">
      <c r="B38" s="49" t="s">
        <v>49</v>
      </c>
      <c r="C38" s="49"/>
      <c r="D38" s="49"/>
      <c r="E38" s="49"/>
      <c r="F38" s="50">
        <f>E29*5</f>
      </c>
    </row>
    <row r="40" ht="26" customHeight="1" spans="2:6" x14ac:dyDescent="0.25">
      <c r="B40" s="51" t="s">
        <v>50</v>
      </c>
      <c r="C40" s="51"/>
      <c r="D40" s="51"/>
      <c r="E40" s="51"/>
      <c r="F40" s="51"/>
    </row>
    <row r="41" ht="22" customHeight="1" spans="2:6" x14ac:dyDescent="0.25">
      <c r="B41" s="52" t="s">
        <v>51</v>
      </c>
      <c r="C41" s="53" t="s">
        <v>52</v>
      </c>
      <c r="D41" s="53"/>
      <c r="E41" s="53"/>
      <c r="F41" s="53"/>
    </row>
    <row r="42" ht="22" customHeight="1" spans="2:6" x14ac:dyDescent="0.25">
      <c r="B42" s="52" t="s">
        <v>53</v>
      </c>
      <c r="C42" s="53" t="s">
        <v>54</v>
      </c>
      <c r="D42" s="53"/>
      <c r="E42" s="53"/>
      <c r="F42" s="53"/>
    </row>
    <row r="43" ht="22" customHeight="1" spans="2:6" x14ac:dyDescent="0.25">
      <c r="B43" s="52" t="s">
        <v>55</v>
      </c>
      <c r="C43" s="53" t="s">
        <v>56</v>
      </c>
      <c r="D43" s="53"/>
      <c r="E43" s="53"/>
      <c r="F43" s="53"/>
    </row>
  </sheetData>
  <sheetProtection sheet="1"/>
  <mergeCells count="24">
    <mergeCell ref="B2:F2"/>
    <mergeCell ref="B3:F3"/>
    <mergeCell ref="B4:F4"/>
    <mergeCell ref="B6:F6"/>
    <mergeCell ref="E7:F7"/>
    <mergeCell ref="E8:F8"/>
    <mergeCell ref="E9:F9"/>
    <mergeCell ref="E10:F10"/>
    <mergeCell ref="B12:F12"/>
    <mergeCell ref="B21:F21"/>
    <mergeCell ref="B22:E22"/>
    <mergeCell ref="B23:E23"/>
    <mergeCell ref="B24:E24"/>
    <mergeCell ref="B32:E32"/>
    <mergeCell ref="B33:E33"/>
    <mergeCell ref="B34:E34"/>
    <mergeCell ref="B35:E35"/>
    <mergeCell ref="B36:F36"/>
    <mergeCell ref="B37:E37"/>
    <mergeCell ref="B38:E38"/>
    <mergeCell ref="B40:F40"/>
    <mergeCell ref="C41:F41"/>
    <mergeCell ref="C42:F42"/>
    <mergeCell ref="C43:F4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3"/>
  <sheetViews>
    <sheetView workbookViewId="0">
      <selection activeCell="C7" sqref="C7"/>
    </sheetView>
  </sheetViews>
  <sheetFormatPr defaultRowHeight="15" outlineLevelRow="0" outlineLevelCol="0" x14ac:dyDescent="55"/>
  <cols>
    <col min="1" max="1" width="4" customWidth="1"/>
    <col min="2" max="2" width="72" customWidth="1"/>
    <col min="3" max="5" width="22" customWidth="1"/>
    <col min="6" max="6" width="28" customWidth="1"/>
  </cols>
  <sheetData>
    <row r="2" ht="20" customHeight="1" spans="2:6" x14ac:dyDescent="0.25">
      <c r="B2" s="1" t="s">
        <v>57</v>
      </c>
      <c r="C2" s="1"/>
      <c r="D2" s="1"/>
      <c r="E2" s="1"/>
      <c r="F2" s="1"/>
    </row>
    <row r="3" ht="30" customHeight="1" spans="2:6" x14ac:dyDescent="0.25">
      <c r="B3" s="2" t="s">
        <v>58</v>
      </c>
      <c r="C3" s="2"/>
      <c r="D3" s="2"/>
      <c r="E3" s="2"/>
      <c r="F3" s="2"/>
    </row>
    <row r="4" ht="20" customHeight="1" spans="2:6" x14ac:dyDescent="0.25">
      <c r="B4" s="3" t="s">
        <v>59</v>
      </c>
      <c r="C4" s="3"/>
      <c r="D4" s="3"/>
      <c r="E4" s="3"/>
      <c r="F4" s="3"/>
    </row>
    <row r="6" ht="26" customHeight="1" spans="2:6" x14ac:dyDescent="0.25">
      <c r="B6" s="4" t="s">
        <v>60</v>
      </c>
      <c r="C6" s="4"/>
      <c r="D6" s="4"/>
      <c r="E6" s="4"/>
      <c r="F6" s="4"/>
    </row>
    <row r="7" ht="24" customHeight="1" spans="2:6" x14ac:dyDescent="0.25">
      <c r="B7" s="5" t="s">
        <v>61</v>
      </c>
      <c r="C7" s="6">
        <v>5</v>
      </c>
      <c r="D7" s="7" t="s">
        <v>5</v>
      </c>
      <c r="E7" s="8" t="s">
        <v>62</v>
      </c>
      <c r="F7" s="8"/>
    </row>
    <row r="8" ht="24" customHeight="1" spans="2:6" x14ac:dyDescent="0.25">
      <c r="B8" s="5" t="s">
        <v>63</v>
      </c>
      <c r="C8" s="9">
        <v>85</v>
      </c>
      <c r="D8" s="7" t="s">
        <v>8</v>
      </c>
      <c r="E8" s="8" t="s">
        <v>64</v>
      </c>
      <c r="F8" s="8"/>
    </row>
    <row r="9" ht="24" customHeight="1" spans="2:6" x14ac:dyDescent="0.25">
      <c r="B9" s="5" t="s">
        <v>65</v>
      </c>
      <c r="C9" s="10">
        <v>12</v>
      </c>
      <c r="D9" s="7" t="s">
        <v>11</v>
      </c>
      <c r="E9" s="8" t="s">
        <v>66</v>
      </c>
      <c r="F9" s="8"/>
    </row>
    <row r="10" ht="24" customHeight="1" spans="2:6" x14ac:dyDescent="0.25">
      <c r="B10" s="5" t="s">
        <v>67</v>
      </c>
      <c r="C10" s="6">
        <v>48</v>
      </c>
      <c r="D10" s="7" t="s">
        <v>14</v>
      </c>
      <c r="E10" s="8" t="s">
        <v>68</v>
      </c>
      <c r="F10" s="8"/>
    </row>
    <row r="12" ht="26" customHeight="1" spans="2:6" x14ac:dyDescent="0.25">
      <c r="B12" s="11" t="s">
        <v>69</v>
      </c>
      <c r="C12" s="11"/>
      <c r="D12" s="11"/>
      <c r="E12" s="11"/>
      <c r="F12" s="11"/>
    </row>
    <row r="13" ht="22" customHeight="1" spans="2:6" x14ac:dyDescent="0.25">
      <c r="B13" s="12" t="s">
        <v>70</v>
      </c>
      <c r="C13" s="13" t="s">
        <v>71</v>
      </c>
      <c r="D13" s="13" t="s">
        <v>72</v>
      </c>
      <c r="E13" s="13" t="s">
        <v>73</v>
      </c>
      <c r="F13" s="14" t="s">
        <v>74</v>
      </c>
    </row>
    <row r="14" ht="24" customHeight="1" spans="2:6" x14ac:dyDescent="0.25">
      <c r="B14" s="15" t="s">
        <v>75</v>
      </c>
      <c r="C14" s="16">
        <v>3.5</v>
      </c>
      <c r="D14" s="16">
        <v>0.5</v>
      </c>
      <c r="E14" s="17">
        <f>C14-D14</f>
      </c>
      <c r="F14" s="18">
        <f>E14*$C$8*$C$7</f>
      </c>
    </row>
    <row r="15" ht="24" customHeight="1" spans="2:6" x14ac:dyDescent="0.25">
      <c r="B15" s="15" t="s">
        <v>76</v>
      </c>
      <c r="C15" s="16">
        <v>2.5</v>
      </c>
      <c r="D15" s="16">
        <v>0.3</v>
      </c>
      <c r="E15" s="17">
        <f>C15-D15</f>
      </c>
      <c r="F15" s="18">
        <f>E15*$C$8*$C$7</f>
      </c>
    </row>
    <row r="16" ht="24" customHeight="1" spans="2:6" x14ac:dyDescent="0.25">
      <c r="B16" s="15" t="s">
        <v>77</v>
      </c>
      <c r="C16" s="16">
        <v>2</v>
      </c>
      <c r="D16" s="16">
        <v>0.2</v>
      </c>
      <c r="E16" s="17">
        <f>C16-D16</f>
      </c>
      <c r="F16" s="18">
        <f>E16*$C$8*$C$7</f>
      </c>
    </row>
    <row r="17" ht="24" customHeight="1" spans="2:6" x14ac:dyDescent="0.25">
      <c r="B17" s="15" t="s">
        <v>78</v>
      </c>
      <c r="C17" s="16">
        <v>2</v>
      </c>
      <c r="D17" s="16">
        <v>0.4</v>
      </c>
      <c r="E17" s="17">
        <f>C17-D17</f>
      </c>
      <c r="F17" s="18">
        <f>E17*$C$8*$C$7</f>
      </c>
    </row>
    <row r="18" ht="24" customHeight="1" spans="2:6" x14ac:dyDescent="0.25">
      <c r="B18" s="15" t="s">
        <v>79</v>
      </c>
      <c r="C18" s="16">
        <v>2</v>
      </c>
      <c r="D18" s="16">
        <v>0.4</v>
      </c>
      <c r="E18" s="17">
        <f>C18-D18</f>
      </c>
      <c r="F18" s="18">
        <f>E18*$C$8*$C$7</f>
      </c>
    </row>
    <row r="19" ht="26" customHeight="1" spans="2:6" x14ac:dyDescent="0.25">
      <c r="B19" s="19" t="s">
        <v>80</v>
      </c>
      <c r="C19" s="20">
        <f>SUM(C14:C18)</f>
      </c>
      <c r="D19" s="20">
        <f>SUM(D14:D18)</f>
      </c>
      <c r="E19" s="21">
        <f>SUM(E14:E18)</f>
      </c>
      <c r="F19" s="22">
        <f>SUM(F14:F18)</f>
      </c>
    </row>
    <row r="21" ht="26" customHeight="1" spans="2:6" x14ac:dyDescent="0.25">
      <c r="B21" s="23" t="s">
        <v>81</v>
      </c>
      <c r="C21" s="23"/>
      <c r="D21" s="23"/>
      <c r="E21" s="23"/>
      <c r="F21" s="23"/>
    </row>
    <row r="22" ht="24" customHeight="1" spans="2:6" x14ac:dyDescent="0.25">
      <c r="B22" s="24" t="s">
        <v>82</v>
      </c>
      <c r="C22" s="24"/>
      <c r="D22" s="24"/>
      <c r="E22" s="24"/>
      <c r="F22" s="25">
        <f>C7*C8*C9*C10</f>
      </c>
    </row>
    <row r="23" ht="24" customHeight="1" spans="2:6" x14ac:dyDescent="0.25">
      <c r="B23" s="26" t="s">
        <v>83</v>
      </c>
      <c r="C23" s="26"/>
      <c r="D23" s="26"/>
      <c r="E23" s="26"/>
      <c r="F23" s="27">
        <f>E19*C10*C8*C7</f>
      </c>
    </row>
    <row r="24" ht="24" customHeight="1" spans="2:6" x14ac:dyDescent="0.25">
      <c r="B24" s="5" t="s">
        <v>84</v>
      </c>
      <c r="C24" s="5"/>
      <c r="D24" s="5"/>
      <c r="E24" s="5"/>
      <c r="F24" s="28">
        <f>E19*C10*C7</f>
      </c>
    </row>
    <row r="26" ht="22" customHeight="1" spans="2:6" x14ac:dyDescent="0.25">
      <c r="B26" s="29" t="s">
        <v>85</v>
      </c>
      <c r="C26" s="30" t="s">
        <v>86</v>
      </c>
      <c r="D26" s="30" t="s">
        <v>87</v>
      </c>
      <c r="E26" s="30" t="s">
        <v>88</v>
      </c>
      <c r="F26" s="31" t="s">
        <v>89</v>
      </c>
    </row>
    <row r="28" ht="24" customHeight="1" spans="2:6" x14ac:dyDescent="0.25">
      <c r="B28" s="15" t="s">
        <v>90</v>
      </c>
      <c r="C28" s="32">
        <v>0.5</v>
      </c>
      <c r="D28" s="33" t="s">
        <v>91</v>
      </c>
      <c r="E28" s="34">
        <f>F24*C28</f>
      </c>
      <c r="F28" s="35">
        <f>F23*C28</f>
      </c>
    </row>
    <row r="29" ht="24" customHeight="1" spans="2:6" x14ac:dyDescent="0.25">
      <c r="B29" s="36" t="s">
        <v>92</v>
      </c>
      <c r="C29" s="37">
        <v>0.75</v>
      </c>
      <c r="D29" s="38" t="s">
        <v>93</v>
      </c>
      <c r="E29" s="39">
        <f>F24*C29</f>
      </c>
      <c r="F29" s="40">
        <f>F23*C29</f>
      </c>
    </row>
    <row r="30" ht="24" customHeight="1" spans="2:6" x14ac:dyDescent="0.25">
      <c r="B30" s="15" t="s">
        <v>94</v>
      </c>
      <c r="C30" s="32">
        <v>1</v>
      </c>
      <c r="D30" s="33" t="s">
        <v>95</v>
      </c>
      <c r="E30" s="34">
        <f>F24*C30</f>
      </c>
      <c r="F30" s="35">
        <f>F23*C30</f>
      </c>
    </row>
    <row r="32" ht="24" customHeight="1" spans="2:6" x14ac:dyDescent="0.25">
      <c r="B32" s="41" t="s">
        <v>96</v>
      </c>
      <c r="C32" s="41"/>
      <c r="D32" s="41"/>
      <c r="E32" s="41"/>
      <c r="F32" s="42">
        <f>MAX(12500, C7*1850)</f>
      </c>
    </row>
    <row r="33" ht="24" customHeight="1" spans="2:6" x14ac:dyDescent="0.25">
      <c r="B33" s="26" t="s">
        <v>97</v>
      </c>
      <c r="C33" s="26"/>
      <c r="D33" s="26"/>
      <c r="E33" s="26"/>
      <c r="F33" s="27">
        <f>F29-F32</f>
      </c>
    </row>
    <row r="34" ht="24" customHeight="1" spans="2:6" x14ac:dyDescent="0.25">
      <c r="B34" s="41" t="s">
        <v>98</v>
      </c>
      <c r="C34" s="41"/>
      <c r="D34" s="41"/>
      <c r="E34" s="41"/>
      <c r="F34" s="43">
        <f>ROUND((F32/F29)*12, 1)</f>
      </c>
    </row>
    <row r="35" ht="24" customHeight="1" spans="2:6" x14ac:dyDescent="0.25">
      <c r="B35" s="44" t="s">
        <v>99</v>
      </c>
      <c r="C35" s="44"/>
      <c r="D35" s="44"/>
      <c r="E35" s="44"/>
      <c r="F35" s="45">
        <f>(F33/F32)</f>
      </c>
    </row>
    <row r="36" ht="22" customHeight="1" spans="2:6" x14ac:dyDescent="0.25">
      <c r="B36" s="46" t="s">
        <v>100</v>
      </c>
      <c r="C36" s="46"/>
      <c r="D36" s="46"/>
      <c r="E36" s="46"/>
      <c r="F36" s="46"/>
    </row>
    <row r="37" ht="24" customHeight="1" spans="2:6" x14ac:dyDescent="0.25">
      <c r="B37" s="47" t="s">
        <v>101</v>
      </c>
      <c r="C37" s="47"/>
      <c r="D37" s="47"/>
      <c r="E37" s="47"/>
      <c r="F37" s="48">
        <f>(F29*5)-(F32*1.4)</f>
      </c>
    </row>
    <row r="38" ht="24" customHeight="1" spans="2:6" x14ac:dyDescent="0.25">
      <c r="B38" s="49" t="s">
        <v>102</v>
      </c>
      <c r="C38" s="49"/>
      <c r="D38" s="49"/>
      <c r="E38" s="49"/>
      <c r="F38" s="50">
        <f>E29*5</f>
      </c>
    </row>
    <row r="40" ht="26" customHeight="1" spans="2:6" x14ac:dyDescent="0.25">
      <c r="B40" s="51" t="s">
        <v>103</v>
      </c>
      <c r="C40" s="51"/>
      <c r="D40" s="51"/>
      <c r="E40" s="51"/>
      <c r="F40" s="51"/>
    </row>
    <row r="41" ht="22" customHeight="1" spans="2:6" x14ac:dyDescent="0.25">
      <c r="B41" s="52" t="s">
        <v>104</v>
      </c>
      <c r="C41" s="53" t="s">
        <v>105</v>
      </c>
      <c r="D41" s="53"/>
      <c r="E41" s="53"/>
      <c r="F41" s="53"/>
    </row>
    <row r="42" ht="22" customHeight="1" spans="2:6" x14ac:dyDescent="0.25">
      <c r="B42" s="52" t="s">
        <v>106</v>
      </c>
      <c r="C42" s="53" t="s">
        <v>107</v>
      </c>
      <c r="D42" s="53"/>
      <c r="E42" s="53"/>
      <c r="F42" s="53"/>
    </row>
    <row r="43" ht="22" customHeight="1" spans="2:6" x14ac:dyDescent="0.25">
      <c r="B43" s="52" t="s">
        <v>108</v>
      </c>
      <c r="C43" s="53" t="s">
        <v>109</v>
      </c>
      <c r="D43" s="53"/>
      <c r="E43" s="53"/>
      <c r="F43" s="53"/>
    </row>
  </sheetData>
  <sheetProtection sheet="1"/>
  <mergeCells count="24">
    <mergeCell ref="B2:F2"/>
    <mergeCell ref="B3:F3"/>
    <mergeCell ref="B4:F4"/>
    <mergeCell ref="B6:F6"/>
    <mergeCell ref="E7:F7"/>
    <mergeCell ref="E8:F8"/>
    <mergeCell ref="E9:F9"/>
    <mergeCell ref="E10:F10"/>
    <mergeCell ref="B12:F12"/>
    <mergeCell ref="B21:F21"/>
    <mergeCell ref="B22:E22"/>
    <mergeCell ref="B23:E23"/>
    <mergeCell ref="B24:E24"/>
    <mergeCell ref="B32:E32"/>
    <mergeCell ref="B33:E33"/>
    <mergeCell ref="B34:E34"/>
    <mergeCell ref="B35:E35"/>
    <mergeCell ref="B36:F36"/>
    <mergeCell ref="B37:E37"/>
    <mergeCell ref="B38:E38"/>
    <mergeCell ref="B40:F40"/>
    <mergeCell ref="C41:F41"/>
    <mergeCell ref="C42:F42"/>
    <mergeCell ref="C43:F4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3"/>
  <sheetViews>
    <sheetView workbookViewId="0">
      <selection activeCell="C7" sqref="C7"/>
    </sheetView>
  </sheetViews>
  <sheetFormatPr defaultRowHeight="15" outlineLevelRow="0" outlineLevelCol="0" x14ac:dyDescent="55"/>
  <cols>
    <col min="1" max="1" width="4" customWidth="1"/>
    <col min="2" max="2" width="72" customWidth="1"/>
    <col min="3" max="5" width="22" customWidth="1"/>
    <col min="6" max="6" width="28" customWidth="1"/>
  </cols>
  <sheetData>
    <row r="2" ht="20" customHeight="1" spans="2:6" x14ac:dyDescent="0.25">
      <c r="B2" s="1" t="s">
        <v>110</v>
      </c>
      <c r="C2" s="1"/>
      <c r="D2" s="1"/>
      <c r="E2" s="1"/>
      <c r="F2" s="1"/>
    </row>
    <row r="3" ht="30" customHeight="1" spans="2:6" x14ac:dyDescent="0.25">
      <c r="B3" s="2" t="s">
        <v>111</v>
      </c>
      <c r="C3" s="2"/>
      <c r="D3" s="2"/>
      <c r="E3" s="2"/>
      <c r="F3" s="2"/>
    </row>
    <row r="4" ht="20" customHeight="1" spans="2:6" x14ac:dyDescent="0.25">
      <c r="B4" s="3" t="s">
        <v>112</v>
      </c>
      <c r="C4" s="3"/>
      <c r="D4" s="3"/>
      <c r="E4" s="3"/>
      <c r="F4" s="3"/>
    </row>
    <row r="6" ht="26" customHeight="1" spans="2:6" x14ac:dyDescent="0.25">
      <c r="B6" s="4" t="s">
        <v>113</v>
      </c>
      <c r="C6" s="4"/>
      <c r="D6" s="4"/>
      <c r="E6" s="4"/>
      <c r="F6" s="4"/>
    </row>
    <row r="7" ht="24" customHeight="1" spans="2:6" x14ac:dyDescent="0.25">
      <c r="B7" s="5" t="s">
        <v>114</v>
      </c>
      <c r="C7" s="6">
        <v>5</v>
      </c>
      <c r="D7" s="7" t="s">
        <v>5</v>
      </c>
      <c r="E7" s="8" t="s">
        <v>115</v>
      </c>
      <c r="F7" s="8"/>
    </row>
    <row r="8" ht="24" customHeight="1" spans="2:6" x14ac:dyDescent="0.25">
      <c r="B8" s="5" t="s">
        <v>116</v>
      </c>
      <c r="C8" s="9">
        <v>85</v>
      </c>
      <c r="D8" s="7" t="s">
        <v>8</v>
      </c>
      <c r="E8" s="8" t="s">
        <v>117</v>
      </c>
      <c r="F8" s="8"/>
    </row>
    <row r="9" ht="24" customHeight="1" spans="2:6" x14ac:dyDescent="0.25">
      <c r="B9" s="5" t="s">
        <v>118</v>
      </c>
      <c r="C9" s="10">
        <v>12</v>
      </c>
      <c r="D9" s="7" t="s">
        <v>11</v>
      </c>
      <c r="E9" s="8" t="s">
        <v>119</v>
      </c>
      <c r="F9" s="8"/>
    </row>
    <row r="10" ht="24" customHeight="1" spans="2:6" x14ac:dyDescent="0.25">
      <c r="B10" s="5" t="s">
        <v>120</v>
      </c>
      <c r="C10" s="6">
        <v>48</v>
      </c>
      <c r="D10" s="7" t="s">
        <v>14</v>
      </c>
      <c r="E10" s="8" t="s">
        <v>121</v>
      </c>
      <c r="F10" s="8"/>
    </row>
    <row r="12" ht="26" customHeight="1" spans="2:6" x14ac:dyDescent="0.25">
      <c r="B12" s="11" t="s">
        <v>122</v>
      </c>
      <c r="C12" s="11"/>
      <c r="D12" s="11"/>
      <c r="E12" s="11"/>
      <c r="F12" s="11"/>
    </row>
    <row r="13" ht="22" customHeight="1" spans="2:6" x14ac:dyDescent="0.25">
      <c r="B13" s="12" t="s">
        <v>123</v>
      </c>
      <c r="C13" s="13" t="s">
        <v>124</v>
      </c>
      <c r="D13" s="13" t="s">
        <v>125</v>
      </c>
      <c r="E13" s="13" t="s">
        <v>126</v>
      </c>
      <c r="F13" s="14" t="s">
        <v>127</v>
      </c>
    </row>
    <row r="14" ht="24" customHeight="1" spans="2:6" x14ac:dyDescent="0.25">
      <c r="B14" s="15" t="s">
        <v>128</v>
      </c>
      <c r="C14" s="16">
        <v>3.5</v>
      </c>
      <c r="D14" s="16">
        <v>0.5</v>
      </c>
      <c r="E14" s="17">
        <f>C14-D14</f>
      </c>
      <c r="F14" s="18">
        <f>E14*$C$8*$C$7</f>
      </c>
    </row>
    <row r="15" ht="24" customHeight="1" spans="2:6" x14ac:dyDescent="0.25">
      <c r="B15" s="15" t="s">
        <v>129</v>
      </c>
      <c r="C15" s="16">
        <v>2.5</v>
      </c>
      <c r="D15" s="16">
        <v>0.3</v>
      </c>
      <c r="E15" s="17">
        <f>C15-D15</f>
      </c>
      <c r="F15" s="18">
        <f>E15*$C$8*$C$7</f>
      </c>
    </row>
    <row r="16" ht="24" customHeight="1" spans="2:6" x14ac:dyDescent="0.25">
      <c r="B16" s="15" t="s">
        <v>130</v>
      </c>
      <c r="C16" s="16">
        <v>2</v>
      </c>
      <c r="D16" s="16">
        <v>0.2</v>
      </c>
      <c r="E16" s="17">
        <f>C16-D16</f>
      </c>
      <c r="F16" s="18">
        <f>E16*$C$8*$C$7</f>
      </c>
    </row>
    <row r="17" ht="24" customHeight="1" spans="2:6" x14ac:dyDescent="0.25">
      <c r="B17" s="15" t="s">
        <v>131</v>
      </c>
      <c r="C17" s="16">
        <v>2</v>
      </c>
      <c r="D17" s="16">
        <v>0.4</v>
      </c>
      <c r="E17" s="17">
        <f>C17-D17</f>
      </c>
      <c r="F17" s="18">
        <f>E17*$C$8*$C$7</f>
      </c>
    </row>
    <row r="18" ht="24" customHeight="1" spans="2:6" x14ac:dyDescent="0.25">
      <c r="B18" s="15" t="s">
        <v>132</v>
      </c>
      <c r="C18" s="16">
        <v>2</v>
      </c>
      <c r="D18" s="16">
        <v>0.4</v>
      </c>
      <c r="E18" s="17">
        <f>C18-D18</f>
      </c>
      <c r="F18" s="18">
        <f>E18*$C$8*$C$7</f>
      </c>
    </row>
    <row r="19" ht="26" customHeight="1" spans="2:6" x14ac:dyDescent="0.25">
      <c r="B19" s="19" t="s">
        <v>133</v>
      </c>
      <c r="C19" s="20">
        <f>SUM(C14:C18)</f>
      </c>
      <c r="D19" s="20">
        <f>SUM(D14:D18)</f>
      </c>
      <c r="E19" s="21">
        <f>SUM(E14:E18)</f>
      </c>
      <c r="F19" s="22">
        <f>SUM(F14:F18)</f>
      </c>
    </row>
    <row r="21" ht="26" customHeight="1" spans="2:6" x14ac:dyDescent="0.25">
      <c r="B21" s="23" t="s">
        <v>134</v>
      </c>
      <c r="C21" s="23"/>
      <c r="D21" s="23"/>
      <c r="E21" s="23"/>
      <c r="F21" s="23"/>
    </row>
    <row r="22" ht="24" customHeight="1" spans="2:6" x14ac:dyDescent="0.25">
      <c r="B22" s="24" t="s">
        <v>135</v>
      </c>
      <c r="C22" s="24"/>
      <c r="D22" s="24"/>
      <c r="E22" s="24"/>
      <c r="F22" s="25">
        <f>C7*C8*C9*C10</f>
      </c>
    </row>
    <row r="23" ht="24" customHeight="1" spans="2:6" x14ac:dyDescent="0.25">
      <c r="B23" s="26" t="s">
        <v>136</v>
      </c>
      <c r="C23" s="26"/>
      <c r="D23" s="26"/>
      <c r="E23" s="26"/>
      <c r="F23" s="27">
        <f>E19*C10*C8*C7</f>
      </c>
    </row>
    <row r="24" ht="24" customHeight="1" spans="2:6" x14ac:dyDescent="0.25">
      <c r="B24" s="5" t="s">
        <v>137</v>
      </c>
      <c r="C24" s="5"/>
      <c r="D24" s="5"/>
      <c r="E24" s="5"/>
      <c r="F24" s="28">
        <f>E19*C10*C7</f>
      </c>
    </row>
    <row r="26" ht="22" customHeight="1" spans="2:6" x14ac:dyDescent="0.25">
      <c r="B26" s="29" t="s">
        <v>138</v>
      </c>
      <c r="C26" s="30" t="s">
        <v>139</v>
      </c>
      <c r="D26" s="30" t="s">
        <v>140</v>
      </c>
      <c r="E26" s="30" t="s">
        <v>141</v>
      </c>
      <c r="F26" s="31" t="s">
        <v>142</v>
      </c>
    </row>
    <row r="28" ht="24" customHeight="1" spans="2:6" x14ac:dyDescent="0.25">
      <c r="B28" s="15" t="s">
        <v>143</v>
      </c>
      <c r="C28" s="32">
        <v>0.5</v>
      </c>
      <c r="D28" s="33" t="s">
        <v>144</v>
      </c>
      <c r="E28" s="34">
        <f>F24*C28</f>
      </c>
      <c r="F28" s="35">
        <f>F23*C28</f>
      </c>
    </row>
    <row r="29" ht="24" customHeight="1" spans="2:6" x14ac:dyDescent="0.25">
      <c r="B29" s="36" t="s">
        <v>145</v>
      </c>
      <c r="C29" s="37">
        <v>0.75</v>
      </c>
      <c r="D29" s="38" t="s">
        <v>146</v>
      </c>
      <c r="E29" s="39">
        <f>F24*C29</f>
      </c>
      <c r="F29" s="40">
        <f>F23*C29</f>
      </c>
    </row>
    <row r="30" ht="24" customHeight="1" spans="2:6" x14ac:dyDescent="0.25">
      <c r="B30" s="15" t="s">
        <v>147</v>
      </c>
      <c r="C30" s="32">
        <v>1</v>
      </c>
      <c r="D30" s="33" t="s">
        <v>148</v>
      </c>
      <c r="E30" s="34">
        <f>F24*C30</f>
      </c>
      <c r="F30" s="35">
        <f>F23*C30</f>
      </c>
    </row>
    <row r="32" ht="24" customHeight="1" spans="2:6" x14ac:dyDescent="0.25">
      <c r="B32" s="41" t="s">
        <v>149</v>
      </c>
      <c r="C32" s="41"/>
      <c r="D32" s="41"/>
      <c r="E32" s="41"/>
      <c r="F32" s="42">
        <f>MAX(12500, C7*1850)</f>
      </c>
    </row>
    <row r="33" ht="24" customHeight="1" spans="2:6" x14ac:dyDescent="0.25">
      <c r="B33" s="26" t="s">
        <v>150</v>
      </c>
      <c r="C33" s="26"/>
      <c r="D33" s="26"/>
      <c r="E33" s="26"/>
      <c r="F33" s="27">
        <f>F29-F32</f>
      </c>
    </row>
    <row r="34" ht="24" customHeight="1" spans="2:6" x14ac:dyDescent="0.25">
      <c r="B34" s="41" t="s">
        <v>151</v>
      </c>
      <c r="C34" s="41"/>
      <c r="D34" s="41"/>
      <c r="E34" s="41"/>
      <c r="F34" s="43">
        <f>ROUND((F32/F29)*12, 1)</f>
      </c>
    </row>
    <row r="35" ht="24" customHeight="1" spans="2:6" x14ac:dyDescent="0.25">
      <c r="B35" s="44" t="s">
        <v>152</v>
      </c>
      <c r="C35" s="44"/>
      <c r="D35" s="44"/>
      <c r="E35" s="44"/>
      <c r="F35" s="45">
        <f>(F33/F32)</f>
      </c>
    </row>
    <row r="36" ht="22" customHeight="1" spans="2:6" x14ac:dyDescent="0.25">
      <c r="B36" s="46" t="s">
        <v>153</v>
      </c>
      <c r="C36" s="46"/>
      <c r="D36" s="46"/>
      <c r="E36" s="46"/>
      <c r="F36" s="46"/>
    </row>
    <row r="37" ht="24" customHeight="1" spans="2:6" x14ac:dyDescent="0.25">
      <c r="B37" s="47" t="s">
        <v>154</v>
      </c>
      <c r="C37" s="47"/>
      <c r="D37" s="47"/>
      <c r="E37" s="47"/>
      <c r="F37" s="48">
        <f>(F29*5)-(F32*1.4)</f>
      </c>
    </row>
    <row r="38" ht="24" customHeight="1" spans="2:6" x14ac:dyDescent="0.25">
      <c r="B38" s="49" t="s">
        <v>155</v>
      </c>
      <c r="C38" s="49"/>
      <c r="D38" s="49"/>
      <c r="E38" s="49"/>
      <c r="F38" s="50">
        <f>E29*5</f>
      </c>
    </row>
    <row r="40" ht="26" customHeight="1" spans="2:6" x14ac:dyDescent="0.25">
      <c r="B40" s="51" t="s">
        <v>156</v>
      </c>
      <c r="C40" s="51"/>
      <c r="D40" s="51"/>
      <c r="E40" s="51"/>
      <c r="F40" s="51"/>
    </row>
    <row r="41" ht="22" customHeight="1" spans="2:6" x14ac:dyDescent="0.25">
      <c r="B41" s="52" t="s">
        <v>157</v>
      </c>
      <c r="C41" s="53" t="s">
        <v>158</v>
      </c>
      <c r="D41" s="53"/>
      <c r="E41" s="53"/>
      <c r="F41" s="53"/>
    </row>
    <row r="42" ht="22" customHeight="1" spans="2:6" x14ac:dyDescent="0.25">
      <c r="B42" s="52" t="s">
        <v>159</v>
      </c>
      <c r="C42" s="53" t="s">
        <v>160</v>
      </c>
      <c r="D42" s="53"/>
      <c r="E42" s="53"/>
      <c r="F42" s="53"/>
    </row>
    <row r="43" ht="22" customHeight="1" spans="2:6" x14ac:dyDescent="0.25">
      <c r="B43" s="52" t="s">
        <v>161</v>
      </c>
      <c r="C43" s="53" t="s">
        <v>162</v>
      </c>
      <c r="D43" s="53"/>
      <c r="E43" s="53"/>
      <c r="F43" s="53"/>
    </row>
  </sheetData>
  <sheetProtection sheet="1"/>
  <mergeCells count="24">
    <mergeCell ref="B2:F2"/>
    <mergeCell ref="B3:F3"/>
    <mergeCell ref="B4:F4"/>
    <mergeCell ref="B6:F6"/>
    <mergeCell ref="E7:F7"/>
    <mergeCell ref="E8:F8"/>
    <mergeCell ref="E9:F9"/>
    <mergeCell ref="E10:F10"/>
    <mergeCell ref="B12:F12"/>
    <mergeCell ref="B21:F21"/>
    <mergeCell ref="B22:E22"/>
    <mergeCell ref="B23:E23"/>
    <mergeCell ref="B24:E24"/>
    <mergeCell ref="B32:E32"/>
    <mergeCell ref="B33:E33"/>
    <mergeCell ref="B34:E34"/>
    <mergeCell ref="B35:E35"/>
    <mergeCell ref="B36:F36"/>
    <mergeCell ref="B37:E37"/>
    <mergeCell ref="B38:E38"/>
    <mergeCell ref="B40:F40"/>
    <mergeCell ref="C41:F41"/>
    <mergeCell ref="C42:F42"/>
    <mergeCell ref="C43:F4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 - ISO 19650 Global</vt:lpstr>
      <vt:lpstr>IT - UNI 11337 Italia</vt:lpstr>
      <vt:lpstr>DE - DIN 19650 DACH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pyBIM SRLS</dc:creator>
  <dc:title/>
  <dc:subject/>
  <dc:description/>
  <cp:keywords/>
  <cp:category/>
  <cp:lastModifiedBy>pyBIM Algorithmic Engine</cp:lastModifiedBy>
  <dcterms:created xsi:type="dcterms:W3CDTF">2026-09-07T16:14:26Z</dcterms:created>
  <dcterms:modified xsi:type="dcterms:W3CDTF">2026-09-07T16:14:26Z</dcterms:modified>
</cp:coreProperties>
</file>