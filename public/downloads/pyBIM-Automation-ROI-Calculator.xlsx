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I Calculator" state="visible" r:id="rId4"/>
  </sheets>
  <calcPr calcId="171027"/>
</workbook>
</file>

<file path=xl/sharedStrings.xml><?xml version="1.0" encoding="utf-8"?>
<sst xmlns="http://schemas.openxmlformats.org/spreadsheetml/2006/main" count="32" uniqueCount="32">
  <si>
    <t>pyBIM  |  ADVANCED BIM &amp; AUTOMATION LAB</t>
  </si>
  <si>
    <t>BIM Automation ROI &amp; Cost-Loss Calculator</t>
  </si>
  <si>
    <t>Quantify hidden engineering losses and projected savings through bespoke Python &amp; C# automation.</t>
  </si>
  <si>
    <t>1. STUDIO / FIRM PROFILE (INPUT VARIABLES - EDIT GREEN CELLS)</t>
  </si>
  <si>
    <t>Number of BIM Modelers / Engineers in Team:</t>
  </si>
  <si>
    <t>Active engineers modeling in Revit</t>
  </si>
  <si>
    <t>Average Hourly Billing / Cost Rate (€ / hr):</t>
  </si>
  <si>
    <t>Standard DACH / EU engineering rate</t>
  </si>
  <si>
    <t>Avg. Hours Wasted on Repetitive Tasks per Modeler (hrs/wk):</t>
  </si>
  <si>
    <t>Clash routing, naming, manual QTO, sheets</t>
  </si>
  <si>
    <t>Working Weeks per Year:</t>
  </si>
  <si>
    <t>Standard annual calendar</t>
  </si>
  <si>
    <t>2. TYPICAL REPETITIVE TASKS BREAKDOWN (WEEKLY BASELINE)</t>
  </si>
  <si>
    <t>BIM Workflow &amp; Repetitive Activity</t>
  </si>
  <si>
    <t>Manual (hrs/wk)</t>
  </si>
  <si>
    <t>With pyBIM (hrs/wk)</t>
  </si>
  <si>
    <t>Weekly Saved (hrs)</t>
  </si>
  <si>
    <t>Annual Cost Saved</t>
  </si>
  <si>
    <t>Rule-based Clash Detection &amp; BCF Issue Routing</t>
  </si>
  <si>
    <t>Parameter Injection &amp; COBie Metadata Structuring</t>
  </si>
  <si>
    <t>Automated Sheet Setup &amp; View Generation</t>
  </si>
  <si>
    <t>Dynamic 5D Quantity Take-off (QTO) &amp; BOQ Schedules</t>
  </si>
  <si>
    <t>Model QA/QC Checking &amp; Compliance Auditing</t>
  </si>
  <si>
    <t>3. EXECUTIVE ROI &amp; FINANCIAL SUMMARY (CALCULATED IN REAL-TIME)</t>
  </si>
  <si>
    <t>Current Hidden Annual Loss (Manual Waste):</t>
  </si>
  <si>
    <t>Estimated Engineering Time Saved per Year:</t>
  </si>
  <si>
    <t>Gross Annual Financial Savings with pyBIM (80% reduction):</t>
  </si>
  <si>
    <t>Estimated pyBIM Automation Investment (One-time):</t>
  </si>
  <si>
    <t>NET 1ST-YEAR GAIN / REVENUE PROTECTED:</t>
  </si>
  <si>
    <t>PROJECTED RETURN ON INVESTMENT (ROI %):</t>
  </si>
  <si>
    <t>ESTIMATED PAYBACK PERIOD:</t>
  </si>
  <si>
    <t xml:space="preserve">Ready to implement these savings in your Revit &amp; BIM environment?
Schedule a Free Technical Audit: https://pybim.com/contact  |  Email: info@pybim.com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</si>
</sst>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€#,##0.00"/>
    <numFmt numFmtId="165" formatCode="0.0 &quot;hrs&quot;"/>
    <numFmt numFmtId="166" formatCode="€#,##0"/>
    <numFmt numFmtId="167" formatCode="#,##0 &quot;hours / yr&quot;"/>
    <numFmt numFmtId="168" formatCode="0.0%"/>
  </numFmts>
  <fonts count="21" x14ac:knownFonts="1">
    <font>
      <color theme="1"/>
      <family val="2"/>
      <scheme val="minor"/>
      <sz val="11"/>
      <name val="Calibri"/>
    </font>
    <font>
      <b/>
      <color rgb="2563EB"/>
      <sz val="11"/>
      <name val="Calibri"/>
    </font>
    <font>
      <b/>
      <color rgb="0F172A"/>
      <sz val="18"/>
      <name val="Calibri"/>
    </font>
    <font>
      <i/>
      <color rgb="64748B"/>
      <sz val="10"/>
      <name val="Calibri"/>
    </font>
    <font>
      <b/>
      <color rgb="FFFFFF"/>
      <sz val="11"/>
      <name val="Calibri"/>
    </font>
    <font>
      <b/>
      <color rgb="0F172A"/>
      <sz val="11"/>
      <name val="Calibri"/>
    </font>
    <font>
      <b/>
      <color rgb="065F46"/>
      <sz val="11"/>
      <name val="Calibri"/>
    </font>
    <font>
      <b/>
      <color rgb="0F172A"/>
      <sz val="10"/>
      <name val="Calibri"/>
    </font>
    <font>
      <color rgb="0F172A"/>
      <sz val="10"/>
      <name val="Calibri"/>
    </font>
    <font>
      <color rgb="DC2626"/>
      <sz val="10"/>
      <name val="Calibri"/>
    </font>
    <font>
      <color rgb="059669"/>
      <sz val="10"/>
      <name val="Calibri"/>
    </font>
    <font>
      <b/>
      <color rgb="2563EB"/>
      <sz val="10"/>
      <name val="Calibri"/>
    </font>
    <font>
      <b/>
      <color rgb="047857"/>
      <sz val="10"/>
      <name val="Calibri"/>
    </font>
    <font>
      <b/>
      <color rgb="0F172A"/>
      <sz val="12"/>
      <name val="Calibri"/>
    </font>
    <font>
      <b/>
      <color rgb="DC2626"/>
      <sz val="12"/>
      <name val="Calibri"/>
    </font>
    <font>
      <b/>
      <color rgb="059669"/>
      <sz val="12"/>
      <name val="Calibri"/>
    </font>
    <font>
      <color rgb="0F172A"/>
      <sz val="11"/>
      <name val="Calibri"/>
    </font>
    <font>
      <b/>
      <color rgb="0F172A"/>
      <sz val="13"/>
      <name val="Calibri"/>
    </font>
    <font>
      <b/>
      <color rgb="047857"/>
      <sz val="13"/>
      <name val="Calibri"/>
    </font>
    <font>
      <b/>
      <color rgb="2563EB"/>
      <sz val="13"/>
      <name val="Calibri"/>
    </font>
    <font>
      <b/>
      <color rgb="F97316"/>
      <sz val="12"/>
      <name val="Calibri"/>
    </font>
  </fonts>
  <fills count="12">
    <fill>
      <patternFill patternType="none"/>
    </fill>
    <fill>
      <patternFill patternType="gray125"/>
    </fill>
    <fill>
      <patternFill patternType="solid">
        <fgColor rgb="0F172A"/>
      </patternFill>
    </fill>
    <fill>
      <patternFill patternType="solid">
        <fgColor rgb="F1F5F9"/>
      </patternFill>
    </fill>
    <fill>
      <patternFill patternType="solid">
        <fgColor rgb="D1FAE5"/>
      </patternFill>
    </fill>
    <fill>
      <patternFill patternType="solid">
        <fgColor rgb="2563EB"/>
      </patternFill>
    </fill>
    <fill>
      <patternFill patternType="solid">
        <fgColor rgb="E2E8F0"/>
      </patternFill>
    </fill>
    <fill>
      <patternFill patternType="solid">
        <fgColor rgb="F97316"/>
      </patternFill>
    </fill>
    <fill>
      <patternFill patternType="solid">
        <fgColor rgb="FEF2F2"/>
      </patternFill>
    </fill>
    <fill>
      <patternFill patternType="solid">
        <fgColor rgb="ECFDF5"/>
      </patternFill>
    </fill>
    <fill>
      <patternFill patternType="solid">
        <fgColor rgb="EFF6FF"/>
      </patternFill>
    </fill>
    <fill>
      <patternFill patternType="solid">
        <fgColor rgb="FFF7ED"/>
      </patternFill>
    </fill>
  </fills>
  <borders count="2">
    <border>
      <left/>
      <right/>
      <top/>
      <bottom/>
      <diagonal/>
    </border>
    <border>
      <left style="thin">
        <color rgb="10B981"/>
      </left>
      <right style="thin">
        <color rgb="10B981"/>
      </right>
      <top style="thin">
        <color rgb="10B981"/>
      </top>
      <bottom style="thin">
        <color rgb="10B98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vertical="center" indent="1"/>
    </xf>
    <xf numFmtId="0" fontId="5" fillId="3" borderId="0" xfId="0" applyFont="1" applyFill="1" applyAlignment="1">
      <alignment vertical="center" indent="1"/>
    </xf>
    <xf numFmtId="3" fontId="6" fillId="4" borderId="1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vertical="center" indent="1"/>
    </xf>
    <xf numFmtId="164" fontId="6" fillId="4" borderId="1" xfId="0" applyNumberFormat="1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 indent="1"/>
    </xf>
    <xf numFmtId="0" fontId="7" fillId="6" borderId="0" xfId="0" applyFont="1" applyFill="1" applyAlignment="1">
      <alignment horizontal="left" vertical="center" indent="1"/>
    </xf>
    <xf numFmtId="0" fontId="7" fillId="6" borderId="0" xfId="0" applyFont="1" applyFill="1" applyAlignment="1">
      <alignment horizontal="center" vertical="center"/>
    </xf>
    <xf numFmtId="0" fontId="8" fillId="0" borderId="0" xfId="0" applyFont="1" applyAlignment="1">
      <alignment vertical="center" indent="1"/>
    </xf>
    <xf numFmtId="165" fontId="9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right" vertical="center"/>
    </xf>
    <xf numFmtId="0" fontId="4" fillId="7" borderId="0" xfId="0" applyFont="1" applyFill="1" applyAlignment="1">
      <alignment vertical="center" indent="1"/>
    </xf>
    <xf numFmtId="0" fontId="13" fillId="8" borderId="0" xfId="0" applyFont="1" applyFill="1" applyAlignment="1">
      <alignment vertical="center" indent="1"/>
    </xf>
    <xf numFmtId="164" fontId="14" fillId="8" borderId="0" xfId="0" applyNumberFormat="1" applyFont="1" applyFill="1" applyAlignment="1">
      <alignment horizontal="right" vertical="center"/>
    </xf>
    <xf numFmtId="167" fontId="1" fillId="3" borderId="0" xfId="0" applyNumberFormat="1" applyFont="1" applyFill="1" applyAlignment="1">
      <alignment horizontal="right" vertical="center"/>
    </xf>
    <xf numFmtId="0" fontId="13" fillId="9" borderId="0" xfId="0" applyFont="1" applyFill="1" applyAlignment="1">
      <alignment vertical="center" indent="1"/>
    </xf>
    <xf numFmtId="164" fontId="15" fillId="9" borderId="0" xfId="0" applyNumberFormat="1" applyFont="1" applyFill="1" applyAlignment="1">
      <alignment horizontal="right" vertical="center"/>
    </xf>
    <xf numFmtId="0" fontId="16" fillId="3" borderId="0" xfId="0" applyFont="1" applyFill="1" applyAlignment="1">
      <alignment vertical="center" indent="1"/>
    </xf>
    <xf numFmtId="164" fontId="16" fillId="3" borderId="0" xfId="0" applyNumberFormat="1" applyFont="1" applyFill="1" applyAlignment="1">
      <alignment horizontal="right" vertical="center"/>
    </xf>
    <xf numFmtId="0" fontId="17" fillId="4" borderId="0" xfId="0" applyFont="1" applyFill="1" applyAlignment="1">
      <alignment vertical="center" indent="1"/>
    </xf>
    <xf numFmtId="164" fontId="18" fillId="4" borderId="0" xfId="0" applyNumberFormat="1" applyFont="1" applyFill="1" applyAlignment="1">
      <alignment horizontal="right" vertical="center"/>
    </xf>
    <xf numFmtId="0" fontId="17" fillId="10" borderId="0" xfId="0" applyFont="1" applyFill="1" applyAlignment="1">
      <alignment vertical="center" indent="1"/>
    </xf>
    <xf numFmtId="168" fontId="19" fillId="10" borderId="0" xfId="0" applyNumberFormat="1" applyFont="1" applyFill="1" applyAlignment="1">
      <alignment horizontal="right" vertical="center"/>
    </xf>
    <xf numFmtId="0" fontId="13" fillId="11" borderId="0" xfId="0" applyFont="1" applyFill="1" applyAlignment="1">
      <alignment vertical="center" indent="1"/>
    </xf>
    <xf numFmtId="49" fontId="20" fillId="11" borderId="0" xfId="0" applyNumberFormat="1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0"/>
  <sheetViews>
    <sheetView workbookViewId="0"/>
  </sheetViews>
  <sheetFormatPr defaultRowHeight="15" outlineLevelRow="0" outlineLevelCol="0" x14ac:dyDescent="55"/>
  <cols>
    <col min="1" max="1" width="4" customWidth="1"/>
    <col min="2" max="2" width="42" customWidth="1"/>
    <col min="3" max="3" width="18" customWidth="1"/>
    <col min="4" max="4" width="20" customWidth="1"/>
    <col min="5" max="5" width="18" customWidth="1"/>
    <col min="6" max="6" width="22" customWidth="1"/>
  </cols>
  <sheetData>
    <row r="2" spans="2:6" x14ac:dyDescent="0.25">
      <c r="B2" s="1" t="s">
        <v>0</v>
      </c>
      <c r="C2" s="1"/>
      <c r="D2" s="1"/>
      <c r="E2" s="1"/>
      <c r="F2" s="1"/>
    </row>
    <row r="3" spans="2:6" x14ac:dyDescent="0.25">
      <c r="B3" s="2" t="s">
        <v>1</v>
      </c>
      <c r="C3" s="2"/>
      <c r="D3" s="2"/>
      <c r="E3" s="2"/>
      <c r="F3" s="2"/>
    </row>
    <row r="4" spans="2:6" x14ac:dyDescent="0.25">
      <c r="B4" s="3" t="s">
        <v>2</v>
      </c>
      <c r="C4" s="3"/>
      <c r="D4" s="3"/>
      <c r="E4" s="3"/>
      <c r="F4" s="3"/>
    </row>
    <row r="6" ht="25" customHeight="1" spans="2:6" x14ac:dyDescent="0.25">
      <c r="B6" s="4" t="s">
        <v>3</v>
      </c>
      <c r="C6" s="4"/>
      <c r="D6" s="4"/>
      <c r="E6" s="4"/>
      <c r="F6" s="4"/>
    </row>
    <row r="7" ht="22" customHeight="1" spans="2:6" x14ac:dyDescent="0.25">
      <c r="B7" s="5" t="s">
        <v>4</v>
      </c>
      <c r="C7" s="6">
        <v>5</v>
      </c>
      <c r="D7" s="7" t="s">
        <v>5</v>
      </c>
      <c r="E7" s="7"/>
      <c r="F7" s="7"/>
    </row>
    <row r="8" ht="22" customHeight="1" spans="2:6" x14ac:dyDescent="0.25">
      <c r="B8" s="5" t="s">
        <v>6</v>
      </c>
      <c r="C8" s="8">
        <v>85</v>
      </c>
      <c r="D8" s="7" t="s">
        <v>7</v>
      </c>
      <c r="E8" s="7"/>
      <c r="F8" s="7"/>
    </row>
    <row r="9" ht="22" customHeight="1" spans="2:6" x14ac:dyDescent="0.25">
      <c r="B9" s="5" t="s">
        <v>8</v>
      </c>
      <c r="C9" s="9">
        <v>12</v>
      </c>
      <c r="D9" s="7" t="s">
        <v>9</v>
      </c>
      <c r="E9" s="7"/>
      <c r="F9" s="7"/>
    </row>
    <row r="10" ht="22" customHeight="1" spans="2:6" x14ac:dyDescent="0.25">
      <c r="B10" s="5" t="s">
        <v>10</v>
      </c>
      <c r="C10" s="6">
        <v>52</v>
      </c>
      <c r="D10" s="7" t="s">
        <v>11</v>
      </c>
      <c r="E10" s="7"/>
      <c r="F10" s="7"/>
    </row>
    <row r="12" ht="25" customHeight="1" spans="2:6" x14ac:dyDescent="0.25">
      <c r="B12" s="10" t="s">
        <v>12</v>
      </c>
      <c r="C12" s="10"/>
      <c r="D12" s="10"/>
      <c r="E12" s="10"/>
      <c r="F12" s="10"/>
    </row>
    <row r="13" ht="22" customHeight="1" spans="2:6" x14ac:dyDescent="0.25">
      <c r="B13" s="11" t="s">
        <v>13</v>
      </c>
      <c r="C13" s="12" t="s">
        <v>14</v>
      </c>
      <c r="D13" s="12" t="s">
        <v>15</v>
      </c>
      <c r="E13" s="12" t="s">
        <v>16</v>
      </c>
      <c r="F13" s="12" t="s">
        <v>17</v>
      </c>
    </row>
    <row r="14" ht="20" customHeight="1" spans="2:6" x14ac:dyDescent="0.25">
      <c r="B14" s="13" t="s">
        <v>18</v>
      </c>
      <c r="C14" s="14">
        <v>3.5</v>
      </c>
      <c r="D14" s="15">
        <v>0.5</v>
      </c>
      <c r="E14" s="16">
        <f>C14-D14</f>
      </c>
      <c r="F14" s="17">
        <f>E14*C$7*C$8*C$10</f>
      </c>
    </row>
    <row r="15" ht="20" customHeight="1" spans="2:6" x14ac:dyDescent="0.25">
      <c r="B15" s="13" t="s">
        <v>19</v>
      </c>
      <c r="C15" s="14">
        <v>3</v>
      </c>
      <c r="D15" s="15">
        <v>0.2</v>
      </c>
      <c r="E15" s="16">
        <f>C15-D15</f>
      </c>
      <c r="F15" s="17">
        <f>E15*C$7*C$8*C$10</f>
      </c>
    </row>
    <row r="16" ht="20" customHeight="1" spans="2:6" x14ac:dyDescent="0.25">
      <c r="B16" s="13" t="s">
        <v>20</v>
      </c>
      <c r="C16" s="14">
        <v>2.5</v>
      </c>
      <c r="D16" s="15">
        <v>0.3</v>
      </c>
      <c r="E16" s="16">
        <f>C16-D16</f>
      </c>
      <c r="F16" s="17">
        <f>E16*C$7*C$8*C$10</f>
      </c>
    </row>
    <row r="17" ht="20" customHeight="1" spans="2:6" x14ac:dyDescent="0.25">
      <c r="B17" s="13" t="s">
        <v>21</v>
      </c>
      <c r="C17" s="14">
        <v>2</v>
      </c>
      <c r="D17" s="15">
        <v>0.4</v>
      </c>
      <c r="E17" s="16">
        <f>C17-D17</f>
      </c>
      <c r="F17" s="17">
        <f>E17*C$7*C$8*C$10</f>
      </c>
    </row>
    <row r="18" ht="20" customHeight="1" spans="2:6" x14ac:dyDescent="0.25">
      <c r="B18" s="13" t="s">
        <v>22</v>
      </c>
      <c r="C18" s="14">
        <v>1</v>
      </c>
      <c r="D18" s="15">
        <v>0.1</v>
      </c>
      <c r="E18" s="16">
        <f>C18-D18</f>
      </c>
      <c r="F18" s="17">
        <f>E18*C$7*C$8*C$10</f>
      </c>
    </row>
    <row r="20" ht="25" customHeight="1" spans="2:6" x14ac:dyDescent="0.25">
      <c r="B20" s="18" t="s">
        <v>23</v>
      </c>
      <c r="C20" s="18"/>
      <c r="D20" s="18"/>
      <c r="E20" s="18"/>
      <c r="F20" s="18"/>
    </row>
    <row r="21" ht="24" customHeight="1" spans="2:6" x14ac:dyDescent="0.25">
      <c r="B21" s="19" t="s">
        <v>24</v>
      </c>
      <c r="C21" s="19"/>
      <c r="D21" s="19"/>
      <c r="E21" s="19"/>
      <c r="F21" s="20">
        <f>C7*C8*C9*C10</f>
      </c>
    </row>
    <row r="22" ht="24" customHeight="1" spans="2:6" x14ac:dyDescent="0.25">
      <c r="B22" s="5" t="s">
        <v>25</v>
      </c>
      <c r="C22" s="5"/>
      <c r="D22" s="5"/>
      <c r="E22" s="5"/>
      <c r="F22" s="21">
        <f>(C7*C9*C10)*0.80</f>
      </c>
    </row>
    <row r="23" ht="24" customHeight="1" spans="2:6" x14ac:dyDescent="0.25">
      <c r="B23" s="22" t="s">
        <v>26</v>
      </c>
      <c r="C23" s="22"/>
      <c r="D23" s="22"/>
      <c r="E23" s="22"/>
      <c r="F23" s="23">
        <f>F21*0.80</f>
      </c>
    </row>
    <row r="24" ht="24" customHeight="1" spans="2:6" x14ac:dyDescent="0.25">
      <c r="B24" s="24" t="s">
        <v>27</v>
      </c>
      <c r="C24" s="24"/>
      <c r="D24" s="24"/>
      <c r="E24" s="24"/>
      <c r="F24" s="25">
        <v>15000</v>
      </c>
    </row>
    <row r="25" ht="24" customHeight="1" spans="2:6" x14ac:dyDescent="0.25">
      <c r="B25" s="26" t="s">
        <v>28</v>
      </c>
      <c r="C25" s="26"/>
      <c r="D25" s="26"/>
      <c r="E25" s="26"/>
      <c r="F25" s="27">
        <f>F23-F24</f>
      </c>
    </row>
    <row r="26" ht="24" customHeight="1" spans="2:6" x14ac:dyDescent="0.25">
      <c r="B26" s="28" t="s">
        <v>29</v>
      </c>
      <c r="C26" s="28"/>
      <c r="D26" s="28"/>
      <c r="E26" s="28"/>
      <c r="F26" s="29">
        <f>(F25/F24)</f>
      </c>
    </row>
    <row r="27" ht="24" customHeight="1" spans="2:6" x14ac:dyDescent="0.25">
      <c r="B27" s="30" t="s">
        <v>30</v>
      </c>
      <c r="C27" s="30"/>
      <c r="D27" s="30"/>
      <c r="E27" s="30"/>
      <c r="F27" s="31">
        <f>"Under " &amp; ROUND((F24/(F23/12)), 1) &amp; " Months"</f>
      </c>
    </row>
    <row r="29" spans="2:6" x14ac:dyDescent="0.25">
      <c r="B29" s="32" t="s">
        <v>31</v>
      </c>
      <c r="C29" s="32"/>
      <c r="D29" s="32"/>
      <c r="E29" s="32"/>
      <c r="F29" s="32"/>
    </row>
    <row r="30" spans="2:6" x14ac:dyDescent="0.25">
      <c r="B30" s="32"/>
      <c r="C30" s="32"/>
      <c r="D30" s="32"/>
      <c r="E30" s="32"/>
      <c r="F30" s="32"/>
    </row>
  </sheetData>
  <mergeCells count="18">
    <mergeCell ref="B2:F2"/>
    <mergeCell ref="B3:F3"/>
    <mergeCell ref="B4:F4"/>
    <mergeCell ref="B6:F6"/>
    <mergeCell ref="D7:F7"/>
    <mergeCell ref="D8:F8"/>
    <mergeCell ref="D9:F9"/>
    <mergeCell ref="D10:F10"/>
    <mergeCell ref="B12:F12"/>
    <mergeCell ref="B20:F20"/>
    <mergeCell ref="B21:E21"/>
    <mergeCell ref="B22:E22"/>
    <mergeCell ref="B23:E23"/>
    <mergeCell ref="B24:E24"/>
    <mergeCell ref="B25:E25"/>
    <mergeCell ref="B26:E26"/>
    <mergeCell ref="B27:E27"/>
    <mergeCell ref="B29:F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ROI Calculator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pyBIM SRLS</dc:creator>
  <dc:title/>
  <dc:subject/>
  <dc:description/>
  <cp:keywords/>
  <cp:category/>
  <cp:lastModifiedBy>pyBIM Engineering Lab</cp:lastModifiedBy>
  <dcterms:created xsi:type="dcterms:W3CDTF">2026-08-25T13:11:52Z</dcterms:created>
  <dcterms:modified xsi:type="dcterms:W3CDTF">2026-08-25T13:11:52Z</dcterms:modified>
</cp:coreProperties>
</file>